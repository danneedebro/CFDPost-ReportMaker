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ro\Downloads\"/>
    </mc:Choice>
  </mc:AlternateContent>
  <xr:revisionPtr revIDLastSave="0" documentId="13_ncr:1_{6AAA0B3B-9892-49B7-89CE-95B02B66E7EE}" xr6:coauthVersionLast="44" xr6:coauthVersionMax="44" xr10:uidLastSave="{00000000-0000-0000-0000-000000000000}"/>
  <bookViews>
    <workbookView xWindow="-120" yWindow="-120" windowWidth="29040" windowHeight="15510" xr2:uid="{E1CECFF3-AD04-4ADF-B9A4-9BF9793AEFE3}"/>
  </bookViews>
  <sheets>
    <sheet name="SPORMF-iter2" sheetId="1" r:id="rId1"/>
    <sheet name="Templates" sheetId="3" r:id="rId2"/>
  </sheets>
  <functionGroups builtInGroupCount="19"/>
  <definedNames>
    <definedName name="BC.Inlet" localSheetId="0">'SPORMF-iter2'!$C$26</definedName>
    <definedName name="BC.Outlet" localSheetId="0">'SPORMF-iter2'!$C$27</definedName>
    <definedName name="ExternalFigures.Convergence" localSheetId="0">'SPORMF-iter2'!$B$68:$D$70</definedName>
    <definedName name="ExternalFigures.Misc" localSheetId="0">'SPORMF-iter2'!$B$74:$D$76</definedName>
    <definedName name="Figure.Height" localSheetId="0">'SPORMF-iter2'!$C$12</definedName>
    <definedName name="Figure.Width" localSheetId="0">'SPORMF-iter2'!$C$13</definedName>
    <definedName name="Figures.Geometry" localSheetId="0">'SPORMF-iter2'!$B$44:$E$48</definedName>
    <definedName name="Figures.Mesh" localSheetId="0">'SPORMF-iter2'!$B$52:$E$55</definedName>
    <definedName name="Figures.Solution" localSheetId="0">'SPORMF-iter2'!$B$59:$E$64</definedName>
    <definedName name="Fluid.Density" localSheetId="0">'SPORMF-iter2'!$C$21</definedName>
    <definedName name="Fluid.Description" localSheetId="0">'SPORMF-iter2'!$C$20</definedName>
    <definedName name="Fluid.Other" localSheetId="0">'SPORMF-iter2'!$C$23</definedName>
    <definedName name="Fluid.Viscosity" localSheetId="0">'SPORMF-iter2'!$C$22</definedName>
    <definedName name="Report.Author" localSheetId="0">'SPORMF-iter2'!$C$11</definedName>
    <definedName name="Report.Path" localSheetId="0">'SPORMF-iter2'!$C$9</definedName>
    <definedName name="Report.Title" localSheetId="0">'SPORMF-iter2'!$C$10</definedName>
    <definedName name="ResultFile" localSheetId="0">'SPORMF-iter2'!$C$5</definedName>
    <definedName name="Solver.Time" localSheetId="0">'SPORMF-iter2'!$D$16</definedName>
    <definedName name="Solver.Type" localSheetId="0">'SPORMF-iter2'!$C$16</definedName>
    <definedName name="TableInput" localSheetId="0">'SPORMF-iter2'!$B$31:$C$38</definedName>
    <definedName name="Template.Comment">Templates!$B$2</definedName>
    <definedName name="Template.CommentSubheading">Templates!$B$3</definedName>
    <definedName name="Template.Contour">Templates!$B$8</definedName>
    <definedName name="Template.ExternalFigure">Templates!$B$1</definedName>
    <definedName name="Template.LoadFile">Templates!$B$4</definedName>
    <definedName name="Template.Plane">Templates!$B$7</definedName>
    <definedName name="Template.ReportSettings">Templates!$B$5</definedName>
    <definedName name="Template.Streamline">Templates!$B$13</definedName>
    <definedName name="Template.SurfaceGroup">Templates!$B$6</definedName>
    <definedName name="Template.View">Templates!$B$12</definedName>
    <definedName name="Template.Wireframe">Templates!$B$10</definedName>
    <definedName name="TurbulenceModel.Name" localSheetId="0">'SPORMF-iter2'!$C$17</definedName>
    <definedName name="TurbulenceModel.WallFunction" localSheetId="0">'SPORMF-iter2'!$D$17</definedName>
    <definedName name="Types">Templates!$A$33:$A$40</definedName>
    <definedName name="UserLocations" localSheetId="0">'SPORMF-iter2'!$H$14:$I$27</definedName>
    <definedName name="Views.Names" localSheetId="0">'SPORMF-iter2'!$H$6:$H$9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62" i="1" l="1"/>
</calcChain>
</file>

<file path=xl/sharedStrings.xml><?xml version="1.0" encoding="utf-8"?>
<sst xmlns="http://schemas.openxmlformats.org/spreadsheetml/2006/main" count="201" uniqueCount="137">
  <si>
    <t>Views</t>
  </si>
  <si>
    <t>Name</t>
  </si>
  <si>
    <t>View 1</t>
  </si>
  <si>
    <t>View 2</t>
  </si>
  <si>
    <t>View 3</t>
  </si>
  <si>
    <t>View 4</t>
  </si>
  <si>
    <t>Figures</t>
  </si>
  <si>
    <t>Geometry 1</t>
  </si>
  <si>
    <t>Geometry 2</t>
  </si>
  <si>
    <t>Geometry 3</t>
  </si>
  <si>
    <t>Geometry 4</t>
  </si>
  <si>
    <t>Mesh 1</t>
  </si>
  <si>
    <t>Mesh 2</t>
  </si>
  <si>
    <t>Mesh 3</t>
  </si>
  <si>
    <t>Mesh 4</t>
  </si>
  <si>
    <t>Solution 1</t>
  </si>
  <si>
    <t>Solution 2</t>
  </si>
  <si>
    <t>Solution 3</t>
  </si>
  <si>
    <t>Solution 4</t>
  </si>
  <si>
    <t>Solution 5</t>
  </si>
  <si>
    <t>Solution 6</t>
  </si>
  <si>
    <t>View</t>
  </si>
  <si>
    <t>Report title =</t>
  </si>
  <si>
    <t>Figure height =</t>
  </si>
  <si>
    <t>Figure width =</t>
  </si>
  <si>
    <t>px</t>
  </si>
  <si>
    <t>/project/dero/Reports/SPORMF.htm</t>
  </si>
  <si>
    <t>User Locations and plots</t>
  </si>
  <si>
    <t>Type</t>
  </si>
  <si>
    <t>Wireframe</t>
  </si>
  <si>
    <t>Surface group</t>
  </si>
  <si>
    <t>User Locations</t>
  </si>
  <si>
    <t>Surfaces All</t>
  </si>
  <si>
    <t>Surfaces Mesh</t>
  </si>
  <si>
    <t>Plane XY</t>
  </si>
  <si>
    <t>Plane XZ</t>
  </si>
  <si>
    <t>Plane YZ</t>
  </si>
  <si>
    <t>Plane</t>
  </si>
  <si>
    <t>Wireframe,Surfaces All</t>
  </si>
  <si>
    <t>Wireframe,Plane XY,Plane XZ,Plane YZ</t>
  </si>
  <si>
    <t>Wireframe,Surfaces Mesh</t>
  </si>
  <si>
    <t>Contour P Plane XY</t>
  </si>
  <si>
    <t>Contour U Plane XY</t>
  </si>
  <si>
    <t>Contour P All</t>
  </si>
  <si>
    <t>Description</t>
  </si>
  <si>
    <t>Isometric</t>
  </si>
  <si>
    <t>Side</t>
  </si>
  <si>
    <t>Side Zoom</t>
  </si>
  <si>
    <t>Isometric Zoom</t>
  </si>
  <si>
    <t>Contour</t>
  </si>
  <si>
    <t>Report path =</t>
  </si>
  <si>
    <t>SPORMF iter2 (d=7.2 mm, 8.5 mm, 9.7 mm)</t>
  </si>
  <si>
    <t>Report author =</t>
  </si>
  <si>
    <t>DERO</t>
  </si>
  <si>
    <t>Report</t>
  </si>
  <si>
    <t>Model description</t>
  </si>
  <si>
    <t>Turbulence model =</t>
  </si>
  <si>
    <t>RKE</t>
  </si>
  <si>
    <t>Solver =</t>
  </si>
  <si>
    <t>Pressure-Based</t>
  </si>
  <si>
    <t>Steady</t>
  </si>
  <si>
    <t>Fluid</t>
  </si>
  <si>
    <t>Density =</t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</si>
  <si>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</si>
  <si>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t>Name =</t>
  </si>
  <si>
    <t>Water, 20°C</t>
  </si>
  <si>
    <t>Active</t>
  </si>
  <si>
    <t>Yes</t>
  </si>
  <si>
    <t>No</t>
  </si>
  <si>
    <r>
      <t>Pa·s  or N·s/m</t>
    </r>
    <r>
      <rPr>
        <vertAlign val="superscript"/>
        <sz val="11"/>
        <color theme="1"/>
        <rFont val="Calibri"/>
        <family val="2"/>
        <scheme val="minor"/>
      </rPr>
      <t>2</t>
    </r>
  </si>
  <si>
    <t>Dynamic viscosity, μ =</t>
  </si>
  <si>
    <t>Other =</t>
  </si>
  <si>
    <t>Scaleable wall functions</t>
  </si>
  <si>
    <t>External figures</t>
  </si>
  <si>
    <t>Change comment</t>
  </si>
  <si>
    <t>Convergence plots</t>
  </si>
  <si>
    <t>/project/dero/Documents/Strypskivor/SPORMF/SPORMF_iter2_mesh1/SPORMF-iter2-geo.png</t>
  </si>
  <si>
    <t>#</t>
  </si>
  <si>
    <t>Caption</t>
  </si>
  <si>
    <t>Path</t>
  </si>
  <si>
    <t>Boundary conditions</t>
  </si>
  <si>
    <t>Inlet =</t>
  </si>
  <si>
    <t>Outlet =</t>
  </si>
  <si>
    <t>Velocity inlet 3.41538 m/s (28 kg/s). Turbulent intensity = 5%, Turbulent Viscosity ratio = 10</t>
  </si>
  <si>
    <t>Pressure outlet 0 Pa</t>
  </si>
  <si>
    <t>HTML Subheading</t>
  </si>
  <si>
    <t>1.003e-3</t>
  </si>
  <si>
    <t>/project/dero/Documents/Strypskivor/SPORMF/SPORMF_iter2_mesh1/SPORMF-iter2-convergence-p1.png</t>
  </si>
  <si>
    <t>Upstream pressure P1 vs iterations</t>
  </si>
  <si>
    <t>Spaceclaim</t>
  </si>
  <si>
    <t>Objects visible</t>
  </si>
  <si>
    <t>User locations and plot types</t>
  </si>
  <si>
    <r>
      <t>&lt;a id=FIGUREX&gt;&lt;/a&gt;
&lt;TABLE class='FigureTable'&gt;
&lt;TR&gt;&lt;TD class='FigureTitle'&gt;&lt;b&gt;</t>
    </r>
    <r>
      <rPr>
        <sz val="11"/>
        <color rgb="FFFF0000"/>
        <rFont val="Courier New"/>
        <family val="3"/>
      </rPr>
      <t>${FIGURE_NAME}</t>
    </r>
    <r>
      <rPr>
        <sz val="11"/>
        <color theme="1"/>
        <rFont val="Courier New"/>
        <family val="3"/>
      </rPr>
      <t xml:space="preserve">. </t>
    </r>
    <r>
      <rPr>
        <sz val="11"/>
        <color rgb="FFFF0000"/>
        <rFont val="Courier New"/>
        <family val="3"/>
      </rPr>
      <t>${FIGURE_CAPTION}</t>
    </r>
    <r>
      <rPr>
        <sz val="11"/>
        <color theme="1"/>
        <rFont val="Courier New"/>
        <family val="3"/>
      </rPr>
      <t>&lt;/b&gt;&lt;/TD&gt;&lt;/TR&gt;
&lt;TR&gt;&lt;TD class='FigurePicture'&gt;&lt;img src="</t>
    </r>
    <r>
      <rPr>
        <sz val="11"/>
        <color rgb="FFFF0000"/>
        <rFont val="Courier New"/>
        <family val="3"/>
      </rPr>
      <t>${PATH}</t>
    </r>
    <r>
      <rPr>
        <sz val="11"/>
        <color theme="1"/>
        <rFont val="Courier New"/>
        <family val="3"/>
      </rPr>
      <t xml:space="preserve">"&gt;&lt;/TD&gt;&lt;/TR&gt;
&lt;/TABLE&gt;
</t>
    </r>
  </si>
  <si>
    <r>
      <t xml:space="preserve">REPORT:
  PUBLISH:
    OUTPUT SETTINGS:
      Chart Image Type = png
      Chart Size = Same As Figure
      Custom Chart Size Height = 384
      Custom Chart Size Width = 512
      Custom Figure Size Height = </t>
    </r>
    <r>
      <rPr>
        <sz val="11"/>
        <color rgb="FFFF0000"/>
        <rFont val="Courier New"/>
        <family val="3"/>
      </rPr>
      <t>${FIGURE_HEIGHT}</t>
    </r>
    <r>
      <rPr>
        <sz val="11"/>
        <color theme="1"/>
        <rFont val="Courier New"/>
        <family val="3"/>
      </rPr>
      <t xml:space="preserve">
      Custom Figure Size Width = </t>
    </r>
    <r>
      <rPr>
        <sz val="11"/>
        <color rgb="FFFF0000"/>
        <rFont val="Courier New"/>
        <family val="3"/>
      </rPr>
      <t>${FIGURE_WIDTH}</t>
    </r>
    <r>
      <rPr>
        <sz val="11"/>
        <color theme="1"/>
        <rFont val="Courier New"/>
        <family val="3"/>
      </rPr>
      <t xml:space="preserve">
      Figure Image Type = png
      Figure Size = Custom
      Fit Views = Off
    END
  END
END
REPORT:
  PUBLISH:
    Generate 3D Viewer Files = Off
    Report Format = HTML
    Report Path = </t>
    </r>
    <r>
      <rPr>
        <sz val="11"/>
        <color rgb="FFFF0000"/>
        <rFont val="Courier New"/>
        <family val="3"/>
      </rPr>
      <t>${REPORT_PATH}</t>
    </r>
    <r>
      <rPr>
        <sz val="11"/>
        <color theme="1"/>
        <rFont val="Courier New"/>
        <family val="3"/>
      </rPr>
      <t xml:space="preserve">
    Save Images In Separate Folder = On
  END
END
TITLE PAGE:
  Include ANSYS Logo = Off
  Include Custom Logo = Off
  Include Date = On
  Include TOC = On
  Report Author = </t>
    </r>
    <r>
      <rPr>
        <sz val="11"/>
        <color rgb="FFFF0000"/>
        <rFont val="Courier New"/>
        <family val="3"/>
      </rPr>
      <t>${REPORT_AUTHOR}</t>
    </r>
    <r>
      <rPr>
        <sz val="11"/>
        <color theme="1"/>
        <rFont val="Courier New"/>
        <family val="3"/>
      </rPr>
      <t xml:space="preserve">
  Report Title = </t>
    </r>
    <r>
      <rPr>
        <sz val="11"/>
        <color rgb="FFFF0000"/>
        <rFont val="Courier New"/>
        <family val="3"/>
      </rPr>
      <t>${REPORT_TITLE}</t>
    </r>
    <r>
      <rPr>
        <sz val="11"/>
        <color theme="1"/>
        <rFont val="Courier New"/>
        <family val="3"/>
      </rPr>
      <t xml:space="preserve">
  Show Captions in TOC = On
END
</t>
    </r>
  </si>
  <si>
    <r>
      <t>&lt;p&gt;&lt;b&gt;</t>
    </r>
    <r>
      <rPr>
        <sz val="11"/>
        <color rgb="FFFF0000"/>
        <rFont val="Courier New"/>
        <family val="3"/>
      </rPr>
      <t>${TITLE}</t>
    </r>
    <r>
      <rPr>
        <sz val="11"/>
        <color theme="1"/>
        <rFont val="Courier New"/>
        <family val="3"/>
      </rPr>
      <t>&lt;/b&gt;&lt;br&gt;</t>
    </r>
    <r>
      <rPr>
        <sz val="11"/>
        <color rgb="FFFF0000"/>
        <rFont val="Courier New"/>
        <family val="3"/>
      </rPr>
      <t>${TEXT}</t>
    </r>
    <r>
      <rPr>
        <sz val="11"/>
        <color theme="1"/>
        <rFont val="Courier New"/>
        <family val="3"/>
      </rPr>
      <t>&lt;/p&gt;</t>
    </r>
  </si>
  <si>
    <t>Report settings</t>
  </si>
  <si>
    <r>
      <t xml:space="preserve">SURFACE GROUP: </t>
    </r>
    <r>
      <rPr>
        <sz val="11"/>
        <color rgb="FFFF0000"/>
        <rFont val="Courier New"/>
        <family val="3"/>
      </rPr>
      <t>${NAME}</t>
    </r>
    <r>
      <rPr>
        <sz val="11"/>
        <color theme="1"/>
        <rFont val="Courier New"/>
        <family val="3"/>
      </rPr>
      <t xml:space="preserve">
  Apply Instancing Transform = On
  Apply Texture = Off
  Blend Texture = On
  Colour = 0.75, 0.75, 0.75
  Colour Map = Default Colour Map
  Colour Mode = Constant
  Colour Scale = Linear
  Colour Variable = Pressure
  Colour Variable Boundary Values = Conservative
  Culling Mode = No Culling
  Domain List = /DOMAIN GROUP:All Domains
  Draw Faces = On
  Draw Lines = Off
  Instancing Transform = /DEFAULT INSTANCE TRANSFORM:Default Transform
  Lighting = On
  Line Colour = 0, 0, 0
  Line Colour Mode = Default
  Line Width = 1
  Location List = </t>
    </r>
    <r>
      <rPr>
        <sz val="11"/>
        <color rgb="FFFF0000"/>
        <rFont val="Courier New"/>
        <family val="3"/>
      </rPr>
      <t>${LOCATION_LIST}</t>
    </r>
    <r>
      <rPr>
        <sz val="11"/>
        <color theme="1"/>
        <rFont val="Courier New"/>
        <family val="3"/>
      </rPr>
      <t xml:space="preserve">
  Max = 0.0 [Pa]
  Min = 0.0 [Pa]
  Range = Global
  Render Edge Angle = 0 [degree]
  Specular Lighting = Off
  Surface Drawing = Smooth Shading
  Texture Angle = 0
  Texture Direction = 0 , 1 , 0
  Texture File = 
  Texture Material = Metal
  Texture Position = 0 , 0
  Texture Scale = 1
  Texture Type = Predefined
  Tile Texture = Off
  Transform Texture = Off
  Transparency = </t>
    </r>
    <r>
      <rPr>
        <sz val="11"/>
        <color rgb="FFFF0000"/>
        <rFont val="Courier New"/>
        <family val="3"/>
      </rPr>
      <t>${TRANSPARENCY}</t>
    </r>
    <r>
      <rPr>
        <sz val="11"/>
        <color theme="1"/>
        <rFont val="Courier New"/>
        <family val="3"/>
      </rPr>
      <t xml:space="preserve">
  Visibility = Off
  OBJECT VIEW TRANSFORM: 
    Apply Reflection = Off
    Apply Rotation = Off
    Apply Scale = Off
    Apply Translation = Off
    Principal Axis = Z
    Reflection Plane Option = XY Plane
    Rotation Angle = 0.0 [degree]
    Rotation Axis From = 0 [m], 0 [m], 0 [m]
    Rotation Axis To = 0 [m], 0 [m], 0 [m]
    Rotation Axis Type = Principal Axis
    Scale Vector = 1 , 1 , 1
    Translation Vector = 0 [m], 0 [m], 0 [m]
    X = 0.0 [m]
    Y = 0.0 [m]
    Z = 0.0 [m]
  END
END
</t>
    </r>
  </si>
  <si>
    <r>
      <t xml:space="preserve">CONTOUR: </t>
    </r>
    <r>
      <rPr>
        <sz val="11"/>
        <color rgb="FFFF0000"/>
        <rFont val="Courier New"/>
        <family val="3"/>
      </rPr>
      <t>${NAME}</t>
    </r>
    <r>
      <rPr>
        <sz val="11"/>
        <color theme="1"/>
        <rFont val="Courier New"/>
        <family val="3"/>
      </rPr>
      <t xml:space="preserve">
  Apply Instancing Transform = On
  Clip Contour = Off
  Colour Map = Default Colour Map
  Colour Scale = Linear
  Colour Variable = </t>
    </r>
    <r>
      <rPr>
        <sz val="11"/>
        <color rgb="FFFF0000"/>
        <rFont val="Courier New"/>
        <family val="3"/>
      </rPr>
      <t>${VARIABLE}</t>
    </r>
    <r>
      <rPr>
        <sz val="11"/>
        <color theme="1"/>
        <rFont val="Courier New"/>
        <family val="3"/>
      </rPr>
      <t xml:space="preserve">
  Colour Variable Boundary Values = Conservative
  Constant Contour Colour = Off
  Contour Range = Global
  Culling Mode = No Culling
  Domain List = /DOMAIN GROUP:All Domains
  Draw Contours = On
  Font = Sans Serif
  Fringe Fill = On
  Instancing Transform = /DEFAULT INSTANCE TRANSFORM:Default Transform
  Lighting = On
  Line Colour = 0, 0, 0
  Line Colour Mode = Default
  Line Width = 1
  Location List = </t>
    </r>
    <r>
      <rPr>
        <sz val="11"/>
        <color rgb="FFFF0000"/>
        <rFont val="Courier New"/>
        <family val="3"/>
      </rPr>
      <t>${LOCATION_LIST}</t>
    </r>
    <r>
      <rPr>
        <sz val="11"/>
        <color theme="1"/>
        <rFont val="Courier New"/>
        <family val="3"/>
      </rPr>
      <t xml:space="preserve">
  Max = 0.0 [Pa]
  Min = 0.0 [Pa]
  Number of Contours = 11
  Show Numbers = Off
  Specular Lighting = On
  Surface Drawing = Smooth Shading
  Text Colour = 0, 0, 0
  Text Colour Mode = Default
  Text Height = 0.024
  Transparency = 0.0
  Use Face Values = Off
  Value List = 0 [Pa],1 [Pa]
  Visibility = Off
  OBJECT VIEW TRANSFORM: 
    Apply Reflection = Off
    Apply Rotation = Off
    Apply Scale = Off
    Apply Translation = Off
    Principal Axis = Z
    Reflection Plane Option = XY Plane
    Rotation Angle = 0.0 [degree]
    Rotation Axis From = 0 [m], 0 [m], 0 [m]
    Rotation Axis To = 0 [m], 0 [m], 0 [m]
    Rotation Axis Type = Principal Axis
    Scale Vector = 1 , 1 , 1
    Translation Vector = 0 [m], 0 [m], 0 [m]
    X = 0.0 [m]
    Y = 0.0 [m]
    Z = 0.0 [m]
  END
END
</t>
    </r>
  </si>
  <si>
    <t>Load new file</t>
  </si>
  <si>
    <r>
      <t>DATA READER:
  Clear All Objects = false
  Append Results = false
  Edit Case Names = false
  Multi Configuration File Load Option = Last Case
  Open in New View = true
  Keep Camera Position = true
  Load Particle Tracks = true
  Multi Configuration File Load Option = Last Case
  Construct Variables From Fourier Coefficients = true
  Open to Compare = false
  Files to Compare =
END
&gt;load filename=</t>
    </r>
    <r>
      <rPr>
        <sz val="11"/>
        <color rgb="FFFF0000"/>
        <rFont val="Courier New"/>
        <family val="3"/>
      </rPr>
      <t>${FILENAME}</t>
    </r>
    <r>
      <rPr>
        <sz val="11"/>
        <color theme="1"/>
        <rFont val="Courier New"/>
        <family val="3"/>
      </rPr>
      <t xml:space="preserve">, force_reload=true
</t>
    </r>
  </si>
  <si>
    <t>REPORT:
  Report Items = /TITLE PAGE,/REPORT/FILE INFORMATION OPTIONS,/REPORT/MESH \
STATISTICS OPTIONS,/REPORT/PHYSICS SUMMARY OPTIONS,/REPORT/SOLUTION SUMMARY \
OPTIONS,/REPORT/OPERATING MAPS,/COMMENT:Header Description,/COMMENT:User Data,/\
TABLE:Table 1,/COMMENT:Header geometry,/VIEW:Geometry 1,/VIEW:Geometry 2,/\
VIEW:Geometry 3,/VIEW:Geometry 4,/VIEW:User Locations,/COMMENT:Header mesh,/\
VIEW:Mesh 1,/VIEW:Mesh 2,/VIEW:Mesh 3,/VIEW:Mesh 4,/VIEW:Mesh 5,/COMMENT:Header \
solution,/VIEW:Solution 1,/VIEW:Solution 2,/VIEW:Solution 3,/VIEW:Solution 4,/\
VIEW:Solution 5,/VIEW:Solution 6,/COMMENT:Header Misc,/COMMENT:Header \
convergence
END</t>
  </si>
  <si>
    <t>Mesh</t>
  </si>
  <si>
    <t>Geometry</t>
  </si>
  <si>
    <t>Solution</t>
  </si>
  <si>
    <t>Wireframe,Contour P Plane XY</t>
  </si>
  <si>
    <t>Wireframe,Contour U Plane XY</t>
  </si>
  <si>
    <t>Wireframe,Contour P All</t>
  </si>
  <si>
    <t>Files</t>
  </si>
  <si>
    <t>Result file =</t>
  </si>
  <si>
    <t>Inlets</t>
  </si>
  <si>
    <t>Outlets</t>
  </si>
  <si>
    <r>
      <t xml:space="preserve">VIEW: </t>
    </r>
    <r>
      <rPr>
        <sz val="11"/>
        <color rgb="FFFF0000"/>
        <rFont val="Courier New"/>
        <family val="3"/>
      </rPr>
      <t>${NAME}</t>
    </r>
    <r>
      <rPr>
        <sz val="11"/>
        <color theme="1"/>
        <rFont val="Courier New"/>
        <family val="3"/>
      </rPr>
      <t xml:space="preserve">
  Angular Coord Shift = 0.0
  Auto Center = false
  Axis Visibility = On
  Border Visibility = false
  Camera Mode = User Specified
  Clip Scene = false
  Coord Transform = Cartesian
  Hide Difference Case = false
  Highlight Type = Surface Mesh
  Is A Figure = true
  Light Angle = 50, 110
  Object Visibility List = </t>
    </r>
    <r>
      <rPr>
        <sz val="11"/>
        <color rgb="FFFF0000"/>
        <rFont val="Courier New"/>
        <family val="3"/>
      </rPr>
      <t>${OBJECT_VISIBILITY_LIST}</t>
    </r>
    <r>
      <rPr>
        <sz val="11"/>
        <color theme="1"/>
        <rFont val="Courier New"/>
        <family val="3"/>
      </rPr>
      <t xml:space="preserve">
  Projection = Orthographic
  Ruler Visibility = On
  Standard View = Isometric Y
  CAMERA: 
    Option = Pivot Point and Quaternion
    Pan = 0,0
    Pivot Point = 0.1,-1.03191e-06,1.19209e-06
    Rotation = -90, 0, 0
    Rotation Quaternion = 0.279848,-0.364705,-0.115917,0.880476
    Scale = 2.14711
    Send To Viewer = True
  END
END
</t>
    </r>
  </si>
  <si>
    <r>
      <t># Comment CCL:
COMMENT:</t>
    </r>
    <r>
      <rPr>
        <sz val="11"/>
        <color rgb="FFFF0000"/>
        <rFont val="Courier New"/>
        <family val="3"/>
      </rPr>
      <t>${NAME}</t>
    </r>
    <r>
      <rPr>
        <sz val="11"/>
        <color theme="1"/>
        <rFont val="Courier New"/>
        <family val="3"/>
      </rPr>
      <t xml:space="preserve">
  Comment Text = &lt;!DOCTYPE HTML PUBLIC "-//W3C//DTD HTML 4.0//EN" "http://\
www.w3.org/TR/REC-html40/strict.dtd"&gt;</t>
    </r>
    <r>
      <rPr>
        <sz val="11"/>
        <color rgb="FFFF0000"/>
        <rFont val="Courier New"/>
        <family val="3"/>
      </rPr>
      <t>${COMMENT_TEXT}</t>
    </r>
    <r>
      <rPr>
        <sz val="11"/>
        <color theme="1"/>
        <rFont val="Courier New"/>
        <family val="3"/>
      </rPr>
      <t xml:space="preserve">
  Comment Heading = </t>
    </r>
    <r>
      <rPr>
        <sz val="11"/>
        <color rgb="FFFF0000"/>
        <rFont val="Courier New"/>
        <family val="3"/>
      </rPr>
      <t>${COMMENT_HEADING}</t>
    </r>
    <r>
      <rPr>
        <sz val="11"/>
        <color theme="1"/>
        <rFont val="Courier New"/>
        <family val="3"/>
      </rPr>
      <t xml:space="preserve">
  Heading Level = </t>
    </r>
    <r>
      <rPr>
        <sz val="11"/>
        <color rgb="FFFF0000"/>
        <rFont val="Courier New"/>
        <family val="3"/>
      </rPr>
      <t>${COMMENT_HEADING_LEVEL}</t>
    </r>
    <r>
      <rPr>
        <sz val="11"/>
        <color theme="1"/>
        <rFont val="Courier New"/>
        <family val="3"/>
      </rPr>
      <t xml:space="preserve">
END
</t>
    </r>
  </si>
  <si>
    <r>
      <t>PLANE:</t>
    </r>
    <r>
      <rPr>
        <sz val="11"/>
        <color rgb="FFFF0000"/>
        <rFont val="Courier New"/>
        <family val="3"/>
      </rPr>
      <t>${NAME}</t>
    </r>
    <r>
      <rPr>
        <sz val="11"/>
        <color theme="1"/>
        <rFont val="Courier New"/>
        <family val="3"/>
      </rPr>
      <t xml:space="preserve">
  Apply Instancing Transform = On
  Apply Texture = Off
  Blend Texture = On
  Bound Radius = 0.5 [m]
  Colour = 0.75, 0.75, 0.75
  Colour Map = Default Colour Map
  Colour Mode = Constant
  Colour Scale = Linear
  Colour Variable = Pressure
  Colour Variable Boundary Values = Conservative
  Culling Mode = No Culling
  Direction 1 Bound = 1.0 [m]
  Direction 1 Orientation = 0 [degree]
  Direction 1 Points = 10
  Direction 2 Bound = 1.0 [m]
  Direction 2 Points = 10
  Domain List = /DOMAIN GROUP:All Domains
  Draw Faces = On
  Draw Lines = Off
  Instancing Transform = /DEFAULT INSTANCE TRANSFORM:Default Transform
  Invert Plane Bound = Off
  Lighting = On
  Line Colour = 0, 0, 0
  Line Colour Mode = Default
  Line Width = 1
  Max = 0.0 [Pa]
  Min = 0.0 [Pa]
  Normal = </t>
    </r>
    <r>
      <rPr>
        <sz val="11"/>
        <color rgb="FFFF0000"/>
        <rFont val="Courier New"/>
        <family val="3"/>
      </rPr>
      <t>${NORMAL}</t>
    </r>
    <r>
      <rPr>
        <sz val="11"/>
        <color theme="1"/>
        <rFont val="Courier New"/>
        <family val="3"/>
      </rPr>
      <t xml:space="preserve">
  Option = Point and Normal
  Plane Bound = None
  Plane Type = Slice
  Point = </t>
    </r>
    <r>
      <rPr>
        <sz val="11"/>
        <color rgb="FFFF0000"/>
        <rFont val="Courier New"/>
        <family val="3"/>
      </rPr>
      <t>${POINT}</t>
    </r>
    <r>
      <rPr>
        <sz val="11"/>
        <color theme="1"/>
        <rFont val="Courier New"/>
        <family val="3"/>
      </rPr>
      <t xml:space="preserve">
  Point 1 = 0 [m], 0 [m], 0 [m]
  Point 2 = 1 [m], 0 [m], 0 [m]
  Point 3 = 0 [m], 1 [m], 0 [m]
  Range = Global
  Render Edge Angle = 0 [degree]
  Specular Lighting = On
  Surface Drawing = Smooth Shading
  Texture Angle = 0
  Texture Direction = 0 , 1 , 0
  Texture File =
  Texture Material = Metal
  Texture Position = 0 , 0
  Texture Scale = 1
  Texture Type = Predefined
  Tile Texture = Off
  Transform Texture = Off
  Transparency = 0.0
  X = 0.0 [m]
  Y = 0.0 [m]
  Z = 0.0 [m]
  OBJECT VIEW TRANSFORM:
    Apply Reflection = Off
    Apply Rotation = Off
    Apply Scale = Off
    Apply Translation = Off
    Principal Axis = Z
    Reflection Plane Option = XY Plane
    Rotation Angle = 0.0 [degree]
    Rotation Axis From = 0 [m], 0 [m], 0 [m]
    Rotation Axis To = 0 [m], 0 [m], 0 [m]
    Rotation Axis Type = Principal Axis
    Scale Vector = 1 , 1 , 1
    Translation Vector = 0 [m], 0 [m], 0 [m]
    X = 0.0 [m]
    Y = 0.0 [m]
    Z = 0.0 [m]
  END
END
</t>
    </r>
  </si>
  <si>
    <r>
      <t xml:space="preserve">WIREFRAME: </t>
    </r>
    <r>
      <rPr>
        <sz val="11"/>
        <color rgb="FFFF0000"/>
        <rFont val="Courier New"/>
        <family val="3"/>
      </rPr>
      <t>${NAME}</t>
    </r>
    <r>
      <rPr>
        <sz val="11"/>
        <color theme="1"/>
        <rFont val="Courier New"/>
        <family val="3"/>
      </rPr>
      <t xml:space="preserve">
  Apply Instancing Transform = On
  Colour = 0, 0, 0
  Domain List = All Domains
  Edge Angle = 30 [degree]
  Instancing Transform = Default Transform
  Line Colour Mode = Default
  Line Width = 1
  Show Surface Mesh = Off
  Visibility = Off
END
</t>
    </r>
  </si>
  <si>
    <r>
      <t xml:space="preserve">STREAMLINE: </t>
    </r>
    <r>
      <rPr>
        <sz val="11"/>
        <color rgb="FFFF0000"/>
        <rFont val="Courier New"/>
        <family val="3"/>
      </rPr>
      <t>${NAME}</t>
    </r>
    <r>
      <rPr>
        <sz val="11"/>
        <color theme="1"/>
        <rFont val="Courier New"/>
        <family val="3"/>
      </rPr>
      <t xml:space="preserve">
  Absolute Tolerance = 0.0 [m]
  Apply Instancing Transform = On
  Colour = 0.75, 0.75, 0.75
  Colour Map = Default Colour Map
  Colour Mode = Use Plot Variable
  Colour Scale = Linear
  Colour Variable = Velocity
  Colour Variable Boundary Values = Conservative
  Cross Periodics = On
  Culling Mode = No Culling
  Domain List = /DOMAIN GROUP:All Domains
  Draw Faces = On
  Draw Lines = Off
  Draw Streams = On
  Draw Symbols = Off
  Grid Tolerance = 0.01
  Instancing Transform = /DEFAULT INSTANCE TRANSFORM:Default Transform
  Lighting = On
  Line Width = 1
  Location List = /SURFACE GROUP:Inlets
  Locator Sampling Method = Equally Spaced
  Max = 0.0 [m s^-1]
  Maximum Number of Items = 25
  Min = 0.0 [m s^-1]
  Number of Samples = 25
  Number of Sides = 8
  Range = Global
  Reduction Factor = 1.0
  Reduction or Max Number = Max Number
  Sample Spacing = 0.1
  Sampling Aspect Ratio = 1
  Sampling Grid Angle = 0 [degree]
  Seed Point Type = Equally Spaced Samples
  Simplify Geometry = Off
  Specular Lighting = On
  Stream Drawing Mode = Line
  Stream Initial Direction = 0 , 0 , 0
  Stream Size = 1.0
  Stream Symbol = Ball
  Streamline Direction = Forward
  Streamline Maximum Periods = 20
  Streamline Maximum Segments = 10000
  Streamline Maximum Time = 0.0 [s]
  Streamline Type = 3D Streamline
  Streamline Width = 2
  Surface Drawing = Smooth Shading
  Surface Streamline Direction = Forward and Backward
  Symbol Size = 1.0
  Symbol Start Time = 10.0 [s]
  Symbol Stop Time = -10.0 [s]
  Symbol Time Interval = 1.0 [s]
  Tolerance Mode = Grid Relative
  Transparency = 0.0
  Variable = Velocity
  Variable Boundary Values = Conservative
  Visibility = On
  OBJECT VIEW TRANSFORM: 
    Apply Reflection = Off
    Apply Rotation = Off
    Apply Scale = Off
    Apply Translation = Off
    Principal Axis = Z
    Reflection Plane Option = XY Plane
    Rotation Angle = 0.0 [degree]
    Rotation Axis From = 0 [m], 0 [m], 0 [m]
    Rotation Axis To = 0 [m], 0 [m], 0 [m]
    Rotation Axis Type = Principal Axis
    Scale Vector = 1 , 1 , 1
    Translation Vector = 0 [m], 0 [m], 0 [m]
    X = 0.0 [m]
    Y = 0.0 [m]
    Z = 0.0 [m]
  END
END
</t>
    </r>
  </si>
  <si>
    <t>Streamline</t>
  </si>
  <si>
    <t>Arguments</t>
  </si>
  <si>
    <t>Streamline 1</t>
  </si>
  <si>
    <t>${VARIABLE},Pressure</t>
  </si>
  <si>
    <t xml:space="preserve">TABLE:Table 1
  TABLE CELLS:
    B2 = "=areaAve(Velocity)@Inlets", False, False, False, Left, True, 0, \
Font Name, 1|1, %10.3e, True, ffffff, 000000, True
  END
END
</t>
  </si>
  <si>
    <t>Result Table</t>
  </si>
  <si>
    <t>Cell</t>
  </si>
  <si>
    <t>Formula</t>
  </si>
  <si>
    <t>A1</t>
  </si>
  <si>
    <t>Inlet</t>
  </si>
  <si>
    <t>=areaAve(Velocity)@Inlets</t>
  </si>
  <si>
    <t>B2</t>
  </si>
  <si>
    <t>U =</t>
  </si>
  <si>
    <t>A2</t>
  </si>
  <si>
    <t>CFDPost-ReportMaker</t>
  </si>
  <si>
    <t>A3</t>
  </si>
  <si>
    <t>P =</t>
  </si>
  <si>
    <t>B3</t>
  </si>
  <si>
    <t>=areaAve(Pressure)@Inlets</t>
  </si>
  <si>
    <t>/project/dero/Documents/Strypskivor/SPORMF/SPORMF_iter2_mesh1/SPORMF_Multistage_iter2_mesh1_adapt1.cas</t>
  </si>
  <si>
    <t>https://github.com/danneedebro/CFDPost-ReportMaker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</si>
</sst>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sz val="18"/>
      <color theme="3"/>
      <name val="Calibri Light"/>
      <family val="2"/>
      <scheme val="major"/>
    </font>
    <font>
      <sz val="11"/>
      <color rgb="FF3F3F76"/>
      <name val="Calibri"/>
      <family val="2"/>
      <scheme val="minor"/>
    </font>
    <font>
      <sz val="11"/>
      <color rgb="FFFF0000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CC99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6">
    <xf numFmtId="0" fontId="0" fillId="0" borderId="0"/>
    <xf numFmtId="0" fontId="1" fillId="0" borderId="1" applyNumberFormat="0" applyFill="0" applyAlignment="0" applyProtection="0"/>
    <xf numFmtId="0" fontId="3" fillId="0" borderId="0" applyNumberFormat="0" applyFill="0" applyBorder="0" applyAlignment="0" applyProtection="0"/>
    <xf numFmtId="0" fontId="6" fillId="0" borderId="2" applyNumberFormat="0" applyFill="0" applyAlignment="0" applyProtection="0"/>
    <xf numFmtId="0" fontId="10" fillId="0" borderId="0" applyNumberFormat="0" applyFill="0" applyBorder="0" applyAlignment="0" applyProtection="0"/>
    <xf numFmtId="0" fontId="11" fillId="3" borderId="3" applyNumberFormat="0" applyAlignment="0" applyProtection="0"/>
  </cellStyleXfs>
  <cellXfs count="40">
    <xf numFmtId="0" fontId="0" fillId="0" borderId="0" xfId="0"/>
    <xf numFmtId="0" fontId="1" fillId="0" borderId="1" xfId="1"/>
    <xf numFmtId="0" fontId="1" fillId="0" borderId="0" xfId="1" applyBorder="1"/>
    <xf numFmtId="0" fontId="3" fillId="0" borderId="0" xfId="2"/>
    <xf numFmtId="0" fontId="5" fillId="0" borderId="0" xfId="0" applyFont="1" applyAlignment="1">
      <alignment horizontal="right"/>
    </xf>
    <xf numFmtId="0" fontId="1" fillId="0" borderId="1" xfId="1" applyAlignment="1">
      <alignment horizontal="left"/>
    </xf>
    <xf numFmtId="0" fontId="6" fillId="0" borderId="2" xfId="3" applyAlignment="1">
      <alignment horizontal="left"/>
    </xf>
    <xf numFmtId="11" fontId="0" fillId="0" borderId="0" xfId="0" applyNumberFormat="1"/>
    <xf numFmtId="0" fontId="0" fillId="0" borderId="0" xfId="0" applyAlignment="1">
      <alignment vertical="top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vertical="top"/>
    </xf>
    <xf numFmtId="0" fontId="1" fillId="0" borderId="0" xfId="1" applyBorder="1" applyAlignment="1">
      <alignment horizontal="left"/>
    </xf>
    <xf numFmtId="0" fontId="7" fillId="2" borderId="4" xfId="0" applyFont="1" applyFill="1" applyBorder="1" applyAlignment="1">
      <alignment horizontal="left"/>
    </xf>
    <xf numFmtId="0" fontId="7" fillId="2" borderId="5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7" fillId="2" borderId="4" xfId="0" applyFont="1" applyFill="1" applyBorder="1"/>
    <xf numFmtId="0" fontId="7" fillId="2" borderId="10" xfId="0" applyFont="1" applyFill="1" applyBorder="1"/>
    <xf numFmtId="0" fontId="0" fillId="0" borderId="0" xfId="0" applyBorder="1"/>
    <xf numFmtId="0" fontId="0" fillId="0" borderId="11" xfId="0" applyBorder="1"/>
    <xf numFmtId="0" fontId="6" fillId="0" borderId="2" xfId="3"/>
    <xf numFmtId="0" fontId="7" fillId="2" borderId="12" xfId="0" applyFont="1" applyFill="1" applyBorder="1"/>
    <xf numFmtId="0" fontId="0" fillId="0" borderId="13" xfId="0" applyBorder="1"/>
    <xf numFmtId="0" fontId="0" fillId="0" borderId="14" xfId="0" applyBorder="1"/>
    <xf numFmtId="0" fontId="6" fillId="0" borderId="0" xfId="3" applyBorder="1" applyAlignment="1">
      <alignment horizontal="left"/>
    </xf>
    <xf numFmtId="0" fontId="7" fillId="2" borderId="15" xfId="0" applyFont="1" applyFill="1" applyBorder="1"/>
    <xf numFmtId="0" fontId="7" fillId="2" borderId="16" xfId="0" applyFont="1" applyFill="1" applyBorder="1"/>
    <xf numFmtId="0" fontId="7" fillId="2" borderId="17" xfId="0" applyFont="1" applyFill="1" applyBorder="1"/>
    <xf numFmtId="0" fontId="6" fillId="0" borderId="2" xfId="3" applyFill="1"/>
    <xf numFmtId="49" fontId="11" fillId="3" borderId="3" xfId="5" applyNumberFormat="1"/>
    <xf numFmtId="0" fontId="11" fillId="3" borderId="3" xfId="5"/>
    <xf numFmtId="11" fontId="11" fillId="3" borderId="3" xfId="5" applyNumberFormat="1"/>
    <xf numFmtId="49" fontId="0" fillId="0" borderId="7" xfId="0" applyNumberFormat="1" applyBorder="1"/>
    <xf numFmtId="49" fontId="0" fillId="0" borderId="9" xfId="0" applyNumberFormat="1" applyBorder="1"/>
    <xf numFmtId="49" fontId="0" fillId="0" borderId="7" xfId="0" quotePrefix="1" applyNumberFormat="1" applyBorder="1"/>
    <xf numFmtId="0" fontId="10" fillId="0" borderId="0" xfId="4"/>
    <xf numFmtId="11" fontId="11" fillId="3" borderId="3" xfId="5" applyNumberFormat="1" applyAlignment="1">
      <alignment wrapText="1"/>
    </xf>
    <xf numFmtId="0" fontId="5" fillId="0" borderId="0" xfId="0" applyFont="1" applyAlignment="1">
      <alignment horizontal="right" vertical="top"/>
    </xf>
  </cellXfs>
  <cellStyles count="6">
    <cellStyle name="Hyperlänk" xfId="2" builtinId="8"/>
    <cellStyle name="Indata" xfId="5" builtinId="20"/>
    <cellStyle name="Normal" xfId="0" builtinId="0"/>
    <cellStyle name="Rubrik" xfId="4" builtinId="15"/>
    <cellStyle name="Rubrik 1" xfId="1" builtinId="16"/>
    <cellStyle name="Rubrik 2" xfId="3" builtinId="17"/>
  </cellStyles>
  <dxfs count="8">
    <dxf>
      <fill>
        <patternFill>
          <bgColor rgb="FFD9E1F2"/>
        </patternFill>
      </fill>
    </dxf>
    <dxf>
      <fill>
        <patternFill>
          <bgColor rgb="FFD9E1F2"/>
        </patternFill>
      </fill>
    </dxf>
    <dxf>
      <fill>
        <patternFill>
          <bgColor rgb="FFD9E1F2"/>
        </patternFill>
      </fill>
    </dxf>
    <dxf>
      <fill>
        <patternFill>
          <bgColor rgb="FFD9E1F2"/>
        </patternFill>
      </fill>
    </dxf>
    <dxf>
      <fill>
        <patternFill>
          <bgColor rgb="FFD9E1F2"/>
        </patternFill>
      </fill>
    </dxf>
    <dxf>
      <fill>
        <patternFill>
          <bgColor rgb="FFD9E1F2"/>
        </patternFill>
      </fill>
    </dxf>
    <dxf>
      <fill>
        <patternFill>
          <bgColor rgb="FFD9E1F2"/>
        </patternFill>
      </fill>
    </dxf>
    <dxf>
      <fill>
        <patternFill>
          <bgColor rgb="FFD9E1F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885825</xdr:colOff>
          <xdr:row>0</xdr:row>
          <xdr:rowOff>47625</xdr:rowOff>
        </xdr:from>
        <xdr:to>
          <xdr:col>5</xdr:col>
          <xdr:colOff>757012</xdr:colOff>
          <xdr:row>3</xdr:row>
          <xdr:rowOff>91350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Generate CFD-Post command line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danneedebro/CFDPost-ReportMaker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841F2-9C50-49F3-A18A-CC4BDDF064A1}">
  <sheetPr codeName="Blad1"/>
  <dimension ref="A1:P77"/>
  <sheetViews>
    <sheetView tabSelected="1" workbookViewId="0">
      <selection activeCell="D7" sqref="D7"/>
    </sheetView>
  </sheetViews>
  <sheetFormatPr defaultRowHeight="15" x14ac:dyDescent="0.25"/>
  <cols>
    <col min="1" max="1" width="6.42578125" customWidth="1"/>
    <col min="2" max="2" width="21.140625" customWidth="1"/>
    <col min="3" max="3" width="17.5703125" customWidth="1"/>
    <col min="4" max="4" width="15.42578125" customWidth="1"/>
    <col min="5" max="5" width="26.28515625" customWidth="1"/>
    <col min="6" max="6" width="15.28515625" customWidth="1"/>
    <col min="8" max="8" width="23.42578125" customWidth="1"/>
    <col min="9" max="9" width="19" customWidth="1"/>
    <col min="10" max="10" width="10.85546875" customWidth="1"/>
    <col min="11" max="11" width="35.7109375" bestFit="1" customWidth="1"/>
  </cols>
  <sheetData>
    <row r="1" spans="1:10" ht="23.25" x14ac:dyDescent="0.35">
      <c r="A1" s="37" t="s">
        <v>130</v>
      </c>
    </row>
    <row r="2" spans="1:10" x14ac:dyDescent="0.25">
      <c r="A2" s="3" t="s">
        <v>136</v>
      </c>
    </row>
    <row r="4" spans="1:10" ht="20.25" thickBot="1" x14ac:dyDescent="0.35">
      <c r="B4" s="1" t="s">
        <v>107</v>
      </c>
      <c r="H4" s="2" t="s">
        <v>0</v>
      </c>
    </row>
    <row r="5" spans="1:10" ht="15.75" thickTop="1" x14ac:dyDescent="0.25">
      <c r="B5" s="4" t="s">
        <v>108</v>
      </c>
      <c r="C5" s="32" t="s">
        <v>135</v>
      </c>
      <c r="H5" s="18" t="s">
        <v>1</v>
      </c>
      <c r="I5" s="13" t="s">
        <v>44</v>
      </c>
    </row>
    <row r="6" spans="1:10" x14ac:dyDescent="0.25">
      <c r="H6" s="14" t="s">
        <v>2</v>
      </c>
      <c r="I6" s="15" t="s">
        <v>45</v>
      </c>
    </row>
    <row r="7" spans="1:10" x14ac:dyDescent="0.25">
      <c r="H7" s="14" t="s">
        <v>3</v>
      </c>
      <c r="I7" s="15" t="s">
        <v>46</v>
      </c>
    </row>
    <row r="8" spans="1:10" ht="20.25" thickBot="1" x14ac:dyDescent="0.35">
      <c r="B8" s="1" t="s">
        <v>54</v>
      </c>
      <c r="H8" s="14" t="s">
        <v>4</v>
      </c>
      <c r="I8" s="15" t="s">
        <v>47</v>
      </c>
    </row>
    <row r="9" spans="1:10" ht="15.75" thickTop="1" x14ac:dyDescent="0.25">
      <c r="B9" s="4" t="s">
        <v>50</v>
      </c>
      <c r="C9" s="32" t="s">
        <v>26</v>
      </c>
      <c r="H9" s="16" t="s">
        <v>5</v>
      </c>
      <c r="I9" s="17" t="s">
        <v>48</v>
      </c>
    </row>
    <row r="10" spans="1:10" x14ac:dyDescent="0.25">
      <c r="B10" s="4" t="s">
        <v>22</v>
      </c>
      <c r="C10" s="32" t="s">
        <v>51</v>
      </c>
    </row>
    <row r="11" spans="1:10" x14ac:dyDescent="0.25">
      <c r="B11" s="4" t="s">
        <v>52</v>
      </c>
      <c r="C11" s="32" t="s">
        <v>53</v>
      </c>
    </row>
    <row r="12" spans="1:10" ht="19.5" x14ac:dyDescent="0.3">
      <c r="B12" s="4" t="s">
        <v>23</v>
      </c>
      <c r="C12" s="32">
        <v>768</v>
      </c>
      <c r="D12" t="s">
        <v>25</v>
      </c>
      <c r="H12" s="11" t="s">
        <v>27</v>
      </c>
    </row>
    <row r="13" spans="1:10" x14ac:dyDescent="0.25">
      <c r="B13" s="4" t="s">
        <v>24</v>
      </c>
      <c r="C13" s="32">
        <v>1024</v>
      </c>
      <c r="D13" t="s">
        <v>25</v>
      </c>
      <c r="H13" s="12" t="s">
        <v>1</v>
      </c>
      <c r="I13" s="13" t="s">
        <v>28</v>
      </c>
      <c r="J13" t="s">
        <v>117</v>
      </c>
    </row>
    <row r="14" spans="1:10" x14ac:dyDescent="0.25">
      <c r="B14" s="4"/>
      <c r="H14" s="14" t="s">
        <v>29</v>
      </c>
      <c r="I14" s="15" t="s">
        <v>29</v>
      </c>
    </row>
    <row r="15" spans="1:10" ht="20.25" thickBot="1" x14ac:dyDescent="0.35">
      <c r="B15" s="5" t="s">
        <v>55</v>
      </c>
      <c r="H15" s="14" t="s">
        <v>32</v>
      </c>
      <c r="I15" s="15" t="s">
        <v>30</v>
      </c>
    </row>
    <row r="16" spans="1:10" ht="15.75" thickTop="1" x14ac:dyDescent="0.25">
      <c r="B16" s="4" t="s">
        <v>58</v>
      </c>
      <c r="C16" s="32" t="s">
        <v>59</v>
      </c>
      <c r="D16" s="32" t="s">
        <v>60</v>
      </c>
      <c r="H16" s="14" t="s">
        <v>33</v>
      </c>
      <c r="I16" s="15" t="s">
        <v>30</v>
      </c>
    </row>
    <row r="17" spans="2:10" x14ac:dyDescent="0.25">
      <c r="B17" s="4" t="s">
        <v>56</v>
      </c>
      <c r="C17" s="32" t="s">
        <v>57</v>
      </c>
      <c r="D17" s="32" t="s">
        <v>72</v>
      </c>
      <c r="H17" s="14" t="s">
        <v>109</v>
      </c>
      <c r="I17" s="15" t="s">
        <v>30</v>
      </c>
    </row>
    <row r="18" spans="2:10" x14ac:dyDescent="0.25">
      <c r="B18" s="4"/>
      <c r="H18" s="14" t="s">
        <v>110</v>
      </c>
      <c r="I18" s="15" t="s">
        <v>30</v>
      </c>
    </row>
    <row r="19" spans="2:10" ht="18" thickBot="1" x14ac:dyDescent="0.35">
      <c r="B19" s="6" t="s">
        <v>61</v>
      </c>
      <c r="H19" s="14" t="s">
        <v>34</v>
      </c>
      <c r="I19" s="15" t="s">
        <v>37</v>
      </c>
    </row>
    <row r="20" spans="2:10" ht="15.75" thickTop="1" x14ac:dyDescent="0.25">
      <c r="B20" s="4" t="s">
        <v>64</v>
      </c>
      <c r="C20" s="32" t="s">
        <v>65</v>
      </c>
      <c r="H20" s="14" t="s">
        <v>35</v>
      </c>
      <c r="I20" s="15" t="s">
        <v>37</v>
      </c>
    </row>
    <row r="21" spans="2:10" ht="17.25" x14ac:dyDescent="0.25">
      <c r="B21" s="4" t="s">
        <v>62</v>
      </c>
      <c r="C21" s="31">
        <v>998.2</v>
      </c>
      <c r="D21" t="s">
        <v>63</v>
      </c>
      <c r="H21" s="14" t="s">
        <v>36</v>
      </c>
      <c r="I21" s="15" t="s">
        <v>37</v>
      </c>
    </row>
    <row r="22" spans="2:10" ht="17.25" x14ac:dyDescent="0.25">
      <c r="B22" s="4" t="s">
        <v>70</v>
      </c>
      <c r="C22" s="31" t="s">
        <v>86</v>
      </c>
      <c r="D22" t="s">
        <v>69</v>
      </c>
      <c r="H22" s="14" t="s">
        <v>41</v>
      </c>
      <c r="I22" s="15" t="s">
        <v>49</v>
      </c>
      <c r="J22" t="s">
        <v>119</v>
      </c>
    </row>
    <row r="23" spans="2:10" x14ac:dyDescent="0.25">
      <c r="B23" s="4" t="s">
        <v>71</v>
      </c>
      <c r="C23" s="33"/>
      <c r="H23" s="14" t="s">
        <v>42</v>
      </c>
      <c r="I23" s="15" t="s">
        <v>49</v>
      </c>
    </row>
    <row r="24" spans="2:10" x14ac:dyDescent="0.25">
      <c r="B24" s="4"/>
      <c r="C24" s="7"/>
      <c r="H24" s="14" t="s">
        <v>43</v>
      </c>
      <c r="I24" s="15" t="s">
        <v>49</v>
      </c>
    </row>
    <row r="25" spans="2:10" ht="18" thickBot="1" x14ac:dyDescent="0.35">
      <c r="B25" s="6" t="s">
        <v>80</v>
      </c>
      <c r="C25" s="7"/>
      <c r="H25" s="14" t="s">
        <v>118</v>
      </c>
      <c r="I25" s="15" t="s">
        <v>116</v>
      </c>
    </row>
    <row r="26" spans="2:10" ht="15.75" customHeight="1" thickTop="1" x14ac:dyDescent="0.25">
      <c r="B26" s="39" t="s">
        <v>81</v>
      </c>
      <c r="C26" s="38" t="s">
        <v>83</v>
      </c>
      <c r="H26" s="14"/>
      <c r="I26" s="15"/>
    </row>
    <row r="27" spans="2:10" x14ac:dyDescent="0.25">
      <c r="B27" s="4" t="s">
        <v>82</v>
      </c>
      <c r="C27" s="33" t="s">
        <v>84</v>
      </c>
      <c r="H27" s="16"/>
      <c r="I27" s="17"/>
    </row>
    <row r="28" spans="2:10" x14ac:dyDescent="0.25">
      <c r="B28" s="4"/>
      <c r="C28" s="7"/>
    </row>
    <row r="29" spans="2:10" ht="17.25" x14ac:dyDescent="0.3">
      <c r="B29" s="26" t="s">
        <v>121</v>
      </c>
      <c r="C29" s="7"/>
    </row>
    <row r="30" spans="2:10" x14ac:dyDescent="0.25">
      <c r="B30" s="18" t="s">
        <v>122</v>
      </c>
      <c r="C30" s="13" t="s">
        <v>123</v>
      </c>
    </row>
    <row r="31" spans="2:10" x14ac:dyDescent="0.25">
      <c r="B31" s="14" t="s">
        <v>124</v>
      </c>
      <c r="C31" s="34" t="s">
        <v>125</v>
      </c>
    </row>
    <row r="32" spans="2:10" x14ac:dyDescent="0.25">
      <c r="B32" s="14" t="s">
        <v>127</v>
      </c>
      <c r="C32" s="36" t="s">
        <v>126</v>
      </c>
    </row>
    <row r="33" spans="2:5" x14ac:dyDescent="0.25">
      <c r="B33" s="14" t="s">
        <v>129</v>
      </c>
      <c r="C33" s="34" t="s">
        <v>128</v>
      </c>
    </row>
    <row r="34" spans="2:5" x14ac:dyDescent="0.25">
      <c r="B34" s="14" t="s">
        <v>131</v>
      </c>
      <c r="C34" s="34" t="s">
        <v>132</v>
      </c>
    </row>
    <row r="35" spans="2:5" x14ac:dyDescent="0.25">
      <c r="B35" s="14" t="s">
        <v>133</v>
      </c>
      <c r="C35" s="36" t="s">
        <v>134</v>
      </c>
    </row>
    <row r="36" spans="2:5" x14ac:dyDescent="0.25">
      <c r="B36" s="14"/>
      <c r="C36" s="34"/>
    </row>
    <row r="37" spans="2:5" x14ac:dyDescent="0.25">
      <c r="B37" s="14"/>
      <c r="C37" s="34"/>
    </row>
    <row r="38" spans="2:5" x14ac:dyDescent="0.25">
      <c r="B38" s="16"/>
      <c r="C38" s="35"/>
    </row>
    <row r="40" spans="2:5" ht="20.25" thickBot="1" x14ac:dyDescent="0.35">
      <c r="B40" s="1" t="s">
        <v>6</v>
      </c>
    </row>
    <row r="41" spans="2:5" ht="15.75" thickTop="1" x14ac:dyDescent="0.25"/>
    <row r="42" spans="2:5" ht="18" thickBot="1" x14ac:dyDescent="0.35">
      <c r="B42" s="22" t="s">
        <v>102</v>
      </c>
    </row>
    <row r="43" spans="2:5" ht="15.75" thickTop="1" x14ac:dyDescent="0.25">
      <c r="B43" s="18" t="s">
        <v>1</v>
      </c>
      <c r="C43" s="19" t="s">
        <v>21</v>
      </c>
      <c r="D43" s="19" t="s">
        <v>66</v>
      </c>
      <c r="E43" s="13" t="s">
        <v>90</v>
      </c>
    </row>
    <row r="44" spans="2:5" x14ac:dyDescent="0.25">
      <c r="B44" s="14" t="s">
        <v>7</v>
      </c>
      <c r="C44" s="20" t="s">
        <v>2</v>
      </c>
      <c r="D44" s="20" t="s">
        <v>67</v>
      </c>
      <c r="E44" s="15" t="s">
        <v>38</v>
      </c>
    </row>
    <row r="45" spans="2:5" x14ac:dyDescent="0.25">
      <c r="B45" s="14" t="s">
        <v>8</v>
      </c>
      <c r="C45" s="20" t="s">
        <v>3</v>
      </c>
      <c r="D45" s="20" t="s">
        <v>67</v>
      </c>
      <c r="E45" s="15" t="s">
        <v>38</v>
      </c>
    </row>
    <row r="46" spans="2:5" x14ac:dyDescent="0.25">
      <c r="B46" s="14" t="s">
        <v>9</v>
      </c>
      <c r="C46" s="20" t="s">
        <v>4</v>
      </c>
      <c r="D46" s="20" t="s">
        <v>67</v>
      </c>
      <c r="E46" s="15" t="s">
        <v>38</v>
      </c>
    </row>
    <row r="47" spans="2:5" x14ac:dyDescent="0.25">
      <c r="B47" s="14" t="s">
        <v>10</v>
      </c>
      <c r="C47" s="20" t="s">
        <v>5</v>
      </c>
      <c r="D47" s="20" t="s">
        <v>67</v>
      </c>
      <c r="E47" s="15" t="s">
        <v>38</v>
      </c>
    </row>
    <row r="48" spans="2:5" x14ac:dyDescent="0.25">
      <c r="B48" s="16" t="s">
        <v>31</v>
      </c>
      <c r="C48" s="21" t="s">
        <v>2</v>
      </c>
      <c r="D48" s="21" t="s">
        <v>67</v>
      </c>
      <c r="E48" s="17" t="s">
        <v>39</v>
      </c>
    </row>
    <row r="50" spans="2:5" ht="18" thickBot="1" x14ac:dyDescent="0.35">
      <c r="B50" s="6" t="s">
        <v>101</v>
      </c>
    </row>
    <row r="51" spans="2:5" ht="15.75" thickTop="1" x14ac:dyDescent="0.25">
      <c r="B51" s="18" t="s">
        <v>1</v>
      </c>
      <c r="C51" s="19" t="s">
        <v>21</v>
      </c>
      <c r="D51" s="19" t="s">
        <v>66</v>
      </c>
      <c r="E51" s="13" t="s">
        <v>90</v>
      </c>
    </row>
    <row r="52" spans="2:5" x14ac:dyDescent="0.25">
      <c r="B52" s="14" t="s">
        <v>11</v>
      </c>
      <c r="C52" s="20" t="s">
        <v>2</v>
      </c>
      <c r="D52" s="20" t="s">
        <v>67</v>
      </c>
      <c r="E52" s="15" t="s">
        <v>40</v>
      </c>
    </row>
    <row r="53" spans="2:5" x14ac:dyDescent="0.25">
      <c r="B53" s="14" t="s">
        <v>12</v>
      </c>
      <c r="C53" s="20" t="s">
        <v>3</v>
      </c>
      <c r="D53" s="20" t="s">
        <v>67</v>
      </c>
      <c r="E53" s="15" t="s">
        <v>40</v>
      </c>
    </row>
    <row r="54" spans="2:5" x14ac:dyDescent="0.25">
      <c r="B54" s="14" t="s">
        <v>13</v>
      </c>
      <c r="C54" s="20" t="s">
        <v>4</v>
      </c>
      <c r="D54" s="20" t="s">
        <v>67</v>
      </c>
      <c r="E54" s="15" t="s">
        <v>40</v>
      </c>
    </row>
    <row r="55" spans="2:5" x14ac:dyDescent="0.25">
      <c r="B55" s="16" t="s">
        <v>14</v>
      </c>
      <c r="C55" s="21" t="s">
        <v>5</v>
      </c>
      <c r="D55" s="21" t="s">
        <v>67</v>
      </c>
      <c r="E55" s="17" t="s">
        <v>40</v>
      </c>
    </row>
    <row r="57" spans="2:5" ht="18" thickBot="1" x14ac:dyDescent="0.35">
      <c r="B57" s="30" t="s">
        <v>103</v>
      </c>
      <c r="D57" s="3"/>
    </row>
    <row r="58" spans="2:5" ht="15.75" thickTop="1" x14ac:dyDescent="0.25">
      <c r="B58" s="18" t="s">
        <v>1</v>
      </c>
      <c r="C58" s="19" t="s">
        <v>21</v>
      </c>
      <c r="D58" s="19" t="s">
        <v>66</v>
      </c>
      <c r="E58" s="13" t="s">
        <v>90</v>
      </c>
    </row>
    <row r="59" spans="2:5" x14ac:dyDescent="0.25">
      <c r="B59" s="14" t="s">
        <v>15</v>
      </c>
      <c r="C59" s="20" t="s">
        <v>4</v>
      </c>
      <c r="D59" s="20" t="s">
        <v>67</v>
      </c>
      <c r="E59" s="15" t="s">
        <v>104</v>
      </c>
    </row>
    <row r="60" spans="2:5" x14ac:dyDescent="0.25">
      <c r="B60" s="14" t="s">
        <v>16</v>
      </c>
      <c r="C60" s="20" t="s">
        <v>4</v>
      </c>
      <c r="D60" s="20" t="s">
        <v>67</v>
      </c>
      <c r="E60" s="15" t="s">
        <v>105</v>
      </c>
    </row>
    <row r="61" spans="2:5" x14ac:dyDescent="0.25">
      <c r="B61" s="14" t="s">
        <v>17</v>
      </c>
      <c r="C61" s="20" t="s">
        <v>5</v>
      </c>
      <c r="D61" s="20" t="s">
        <v>67</v>
      </c>
      <c r="E61" s="15" t="s">
        <v>106</v>
      </c>
    </row>
    <row r="62" spans="2:5" x14ac:dyDescent="0.25">
      <c r="B62" s="14" t="s">
        <v>18</v>
      </c>
      <c r="C62" s="20" t="s">
        <v>5</v>
      </c>
      <c r="D62" s="20" t="s">
        <v>67</v>
      </c>
      <c r="E62" s="15" t="str">
        <f>Cells2List(H14,H25)</f>
        <v>Wireframe,Streamline 1</v>
      </c>
    </row>
    <row r="63" spans="2:5" x14ac:dyDescent="0.25">
      <c r="B63" s="14" t="s">
        <v>19</v>
      </c>
      <c r="C63" s="20" t="s">
        <v>2</v>
      </c>
      <c r="D63" s="20" t="s">
        <v>68</v>
      </c>
      <c r="E63" s="15"/>
    </row>
    <row r="64" spans="2:5" x14ac:dyDescent="0.25">
      <c r="B64" s="16" t="s">
        <v>20</v>
      </c>
      <c r="C64" s="21" t="s">
        <v>2</v>
      </c>
      <c r="D64" s="21" t="s">
        <v>68</v>
      </c>
      <c r="E64" s="17"/>
    </row>
    <row r="66" spans="2:16" ht="17.25" x14ac:dyDescent="0.3">
      <c r="B66" s="26" t="s">
        <v>75</v>
      </c>
      <c r="C66" s="7"/>
    </row>
    <row r="67" spans="2:16" x14ac:dyDescent="0.25">
      <c r="B67" s="27" t="s">
        <v>77</v>
      </c>
      <c r="C67" s="28" t="s">
        <v>78</v>
      </c>
      <c r="D67" s="29" t="s">
        <v>79</v>
      </c>
    </row>
    <row r="68" spans="2:16" x14ac:dyDescent="0.25">
      <c r="B68" s="14">
        <v>1</v>
      </c>
      <c r="C68" s="20" t="s">
        <v>88</v>
      </c>
      <c r="D68" s="15" t="s">
        <v>87</v>
      </c>
      <c r="P68" s="3"/>
    </row>
    <row r="69" spans="2:16" x14ac:dyDescent="0.25">
      <c r="B69" s="14">
        <v>2</v>
      </c>
      <c r="C69" s="20"/>
      <c r="D69" s="15"/>
    </row>
    <row r="70" spans="2:16" x14ac:dyDescent="0.25">
      <c r="B70" s="16">
        <v>3</v>
      </c>
      <c r="C70" s="21"/>
      <c r="D70" s="17"/>
    </row>
    <row r="71" spans="2:16" x14ac:dyDescent="0.25">
      <c r="B71" s="4"/>
      <c r="C71" s="7"/>
    </row>
    <row r="72" spans="2:16" ht="17.25" x14ac:dyDescent="0.3">
      <c r="B72" s="26" t="s">
        <v>73</v>
      </c>
      <c r="C72" s="7"/>
    </row>
    <row r="73" spans="2:16" x14ac:dyDescent="0.25">
      <c r="B73" s="27" t="s">
        <v>77</v>
      </c>
      <c r="C73" s="28" t="s">
        <v>78</v>
      </c>
      <c r="D73" s="29" t="s">
        <v>79</v>
      </c>
    </row>
    <row r="74" spans="2:16" x14ac:dyDescent="0.25">
      <c r="B74" s="14">
        <v>1</v>
      </c>
      <c r="C74" s="20" t="s">
        <v>89</v>
      </c>
      <c r="D74" s="15" t="s">
        <v>76</v>
      </c>
    </row>
    <row r="75" spans="2:16" x14ac:dyDescent="0.25">
      <c r="B75" s="14">
        <v>2</v>
      </c>
      <c r="C75" s="20"/>
      <c r="D75" s="15"/>
    </row>
    <row r="76" spans="2:16" x14ac:dyDescent="0.25">
      <c r="B76" s="16">
        <v>3</v>
      </c>
      <c r="C76" s="21"/>
      <c r="D76" s="17"/>
    </row>
    <row r="77" spans="2:16" x14ac:dyDescent="0.25">
      <c r="B77" s="4"/>
      <c r="C77" s="7"/>
    </row>
  </sheetData>
  <phoneticPr fontId="2" type="noConversion"/>
  <conditionalFormatting sqref="B68:D70">
    <cfRule type="expression" dxfId="7" priority="15">
      <formula>MOD(ROW()+MOD(ROW($B$68),2),2)=0</formula>
    </cfRule>
  </conditionalFormatting>
  <conditionalFormatting sqref="B74:D76">
    <cfRule type="expression" dxfId="6" priority="14">
      <formula>MOD(ROW()+MOD(ROW($B$74),2),2)=0</formula>
    </cfRule>
  </conditionalFormatting>
  <conditionalFormatting sqref="H14:I27">
    <cfRule type="expression" dxfId="5" priority="13">
      <formula>MOD(ROW()+MOD(ROW($H$14),2),2)=0</formula>
    </cfRule>
  </conditionalFormatting>
  <conditionalFormatting sqref="H6:I9">
    <cfRule type="expression" dxfId="4" priority="12">
      <formula>MOD(ROW()+MOD(ROW($H$6),2),2)=0</formula>
    </cfRule>
  </conditionalFormatting>
  <conditionalFormatting sqref="B44:E48">
    <cfRule type="expression" dxfId="3" priority="4">
      <formula>MOD(ROW()+MOD(ROW($B$44),2),2)=0</formula>
    </cfRule>
  </conditionalFormatting>
  <conditionalFormatting sqref="B52:E55">
    <cfRule type="expression" dxfId="2" priority="3">
      <formula>MOD(ROW()+MOD(ROW($B$52),2),2)=0</formula>
    </cfRule>
  </conditionalFormatting>
  <conditionalFormatting sqref="B59:E64">
    <cfRule type="expression" dxfId="1" priority="2">
      <formula>MOD(ROW()+MOD(ROW($B$59),2),2)=0</formula>
    </cfRule>
  </conditionalFormatting>
  <conditionalFormatting sqref="B31:C38">
    <cfRule type="expression" dxfId="0" priority="1">
      <formula>MOD(ROW()+MOD(ROW($B$31),2),2)=0</formula>
    </cfRule>
  </conditionalFormatting>
  <dataValidations count="5">
    <dataValidation type="list" allowBlank="1" showInputMessage="1" showErrorMessage="1" sqref="C44:C48 C52:C55 C59:C64 I52:I65" xr:uid="{893B67CE-81B4-4CCA-93A4-AAA587735787}">
      <formula1>Views.Names</formula1>
    </dataValidation>
    <dataValidation type="list" allowBlank="1" showInputMessage="1" showErrorMessage="1" sqref="Q60 I14:I27" xr:uid="{DB3A9474-B7D5-4D2B-BB81-1BF01343B13E}">
      <formula1>Types</formula1>
    </dataValidation>
    <dataValidation type="list" allowBlank="1" showInputMessage="1" showErrorMessage="1" sqref="C16" xr:uid="{7A541820-A70A-4813-B989-9E5DEBCAED59}">
      <formula1>"Pressure-Based,Density-Based"</formula1>
    </dataValidation>
    <dataValidation type="list" allowBlank="1" showInputMessage="1" showErrorMessage="1" sqref="D16" xr:uid="{AE38C2D8-9DCC-4984-984C-21DAD435DFA5}">
      <formula1>"Steady,Transient"</formula1>
    </dataValidation>
    <dataValidation type="list" allowBlank="1" showInputMessage="1" showErrorMessage="1" sqref="D44:D48 D52:D55 D59:D64 J52:J65" xr:uid="{9B0E63F3-FF1B-4A05-869D-36B20CE983AA}">
      <formula1>"Yes,No"</formula1>
    </dataValidation>
  </dataValidations>
  <hyperlinks>
    <hyperlink ref="A2" r:id="rId1" xr:uid="{8027A7BC-11BB-4ECF-9E69-87639513B9F2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CreateReportSkeleton">
                <anchor>
                  <from>
                    <xdr:col>3</xdr:col>
                    <xdr:colOff>885825</xdr:colOff>
                    <xdr:row>0</xdr:row>
                    <xdr:rowOff>47625</xdr:rowOff>
                  </from>
                  <to>
                    <xdr:col>5</xdr:col>
                    <xdr:colOff>752475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71007-9CD3-4221-8786-635A8B9000E4}">
  <sheetPr codeName="Blad2"/>
  <dimension ref="A1:B41"/>
  <sheetViews>
    <sheetView zoomScale="85" zoomScaleNormal="85" workbookViewId="0">
      <selection activeCell="B4" sqref="B4"/>
    </sheetView>
  </sheetViews>
  <sheetFormatPr defaultRowHeight="15" x14ac:dyDescent="0.25"/>
  <cols>
    <col min="1" max="1" width="23.5703125" style="8" customWidth="1"/>
    <col min="2" max="2" width="106.42578125" style="10" customWidth="1"/>
  </cols>
  <sheetData>
    <row r="1" spans="1:2" ht="90" x14ac:dyDescent="0.25">
      <c r="A1" s="8" t="s">
        <v>73</v>
      </c>
      <c r="B1" s="9" t="s">
        <v>92</v>
      </c>
    </row>
    <row r="2" spans="1:2" ht="120" x14ac:dyDescent="0.25">
      <c r="A2" s="8" t="s">
        <v>74</v>
      </c>
      <c r="B2" s="9" t="s">
        <v>112</v>
      </c>
    </row>
    <row r="3" spans="1:2" x14ac:dyDescent="0.25">
      <c r="A3" s="8" t="s">
        <v>85</v>
      </c>
      <c r="B3" s="9" t="s">
        <v>94</v>
      </c>
    </row>
    <row r="4" spans="1:2" ht="240" x14ac:dyDescent="0.25">
      <c r="A4" s="8" t="s">
        <v>98</v>
      </c>
      <c r="B4" s="9" t="s">
        <v>99</v>
      </c>
    </row>
    <row r="5" spans="1:2" ht="409.5" x14ac:dyDescent="0.25">
      <c r="A5" s="8" t="s">
        <v>95</v>
      </c>
      <c r="B5" s="9" t="s">
        <v>93</v>
      </c>
    </row>
    <row r="6" spans="1:2" ht="409.5" x14ac:dyDescent="0.25">
      <c r="A6" s="8" t="s">
        <v>30</v>
      </c>
      <c r="B6" s="9" t="s">
        <v>96</v>
      </c>
    </row>
    <row r="7" spans="1:2" ht="409.5" x14ac:dyDescent="0.25">
      <c r="B7" s="9" t="s">
        <v>113</v>
      </c>
    </row>
    <row r="8" spans="1:2" ht="409.5" x14ac:dyDescent="0.25">
      <c r="B8" s="9" t="s">
        <v>97</v>
      </c>
    </row>
    <row r="9" spans="1:2" ht="210" x14ac:dyDescent="0.25">
      <c r="B9" s="9" t="s">
        <v>100</v>
      </c>
    </row>
    <row r="10" spans="1:2" ht="180" x14ac:dyDescent="0.25">
      <c r="B10" s="9" t="s">
        <v>114</v>
      </c>
    </row>
    <row r="11" spans="1:2" ht="105" x14ac:dyDescent="0.25">
      <c r="B11" s="9" t="s">
        <v>120</v>
      </c>
    </row>
    <row r="12" spans="1:2" ht="405" x14ac:dyDescent="0.25">
      <c r="B12" s="9" t="s">
        <v>111</v>
      </c>
    </row>
    <row r="13" spans="1:2" ht="409.5" x14ac:dyDescent="0.25">
      <c r="B13" s="9" t="s">
        <v>115</v>
      </c>
    </row>
    <row r="30" spans="1:1" ht="20.25" thickBot="1" x14ac:dyDescent="0.35">
      <c r="A30" s="1" t="s">
        <v>91</v>
      </c>
    </row>
    <row r="31" spans="1:1" ht="15.75" thickTop="1" x14ac:dyDescent="0.25">
      <c r="A31"/>
    </row>
    <row r="32" spans="1:1" x14ac:dyDescent="0.25">
      <c r="A32" s="23" t="s">
        <v>28</v>
      </c>
    </row>
    <row r="33" spans="1:1" x14ac:dyDescent="0.25">
      <c r="A33" s="24" t="s">
        <v>29</v>
      </c>
    </row>
    <row r="34" spans="1:1" x14ac:dyDescent="0.25">
      <c r="A34" s="24" t="s">
        <v>30</v>
      </c>
    </row>
    <row r="35" spans="1:1" x14ac:dyDescent="0.25">
      <c r="A35" s="24" t="s">
        <v>37</v>
      </c>
    </row>
    <row r="36" spans="1:1" x14ac:dyDescent="0.25">
      <c r="A36" s="24" t="s">
        <v>49</v>
      </c>
    </row>
    <row r="37" spans="1:1" x14ac:dyDescent="0.25">
      <c r="A37" s="24" t="s">
        <v>116</v>
      </c>
    </row>
    <row r="38" spans="1:1" x14ac:dyDescent="0.25">
      <c r="A38" s="24"/>
    </row>
    <row r="39" spans="1:1" x14ac:dyDescent="0.25">
      <c r="A39" s="24"/>
    </row>
    <row r="40" spans="1:1" x14ac:dyDescent="0.25">
      <c r="A40" s="25"/>
    </row>
    <row r="41" spans="1:1" x14ac:dyDescent="0.25">
      <c r="A41"/>
    </row>
  </sheetData>
  <dataValidations count="1">
    <dataValidation type="list" allowBlank="1" showInputMessage="1" showErrorMessage="1" sqref="A33:A36" xr:uid="{7B44C716-64AA-478D-A745-7647D12D42D0}">
      <formula1>"Surface group,Contour,Wireframe,Plane"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2</vt:i4>
      </vt:variant>
      <vt:variant>
        <vt:lpstr>Namngivna områden</vt:lpstr>
      </vt:variant>
      <vt:variant>
        <vt:i4>36</vt:i4>
      </vt:variant>
    </vt:vector>
  </HeadingPairs>
  <TitlesOfParts>
    <vt:vector size="38" baseType="lpstr">
      <vt:lpstr>SPORMF-iter2</vt:lpstr>
      <vt:lpstr>Templates</vt:lpstr>
      <vt:lpstr>'SPORMF-iter2'!BC.Inlet</vt:lpstr>
      <vt:lpstr>'SPORMF-iter2'!BC.Outlet</vt:lpstr>
      <vt:lpstr>'SPORMF-iter2'!ExternalFigures.Convergence</vt:lpstr>
      <vt:lpstr>'SPORMF-iter2'!ExternalFigures.Misc</vt:lpstr>
      <vt:lpstr>'SPORMF-iter2'!Figure.Height</vt:lpstr>
      <vt:lpstr>'SPORMF-iter2'!Figure.Width</vt:lpstr>
      <vt:lpstr>'SPORMF-iter2'!Figures.Geometry</vt:lpstr>
      <vt:lpstr>'SPORMF-iter2'!Figures.Mesh</vt:lpstr>
      <vt:lpstr>'SPORMF-iter2'!Figures.Solution</vt:lpstr>
      <vt:lpstr>'SPORMF-iter2'!Fluid.Density</vt:lpstr>
      <vt:lpstr>'SPORMF-iter2'!Fluid.Description</vt:lpstr>
      <vt:lpstr>'SPORMF-iter2'!Fluid.Other</vt:lpstr>
      <vt:lpstr>'SPORMF-iter2'!Fluid.Viscosity</vt:lpstr>
      <vt:lpstr>'SPORMF-iter2'!Report.Author</vt:lpstr>
      <vt:lpstr>'SPORMF-iter2'!Report.Path</vt:lpstr>
      <vt:lpstr>'SPORMF-iter2'!Report.Title</vt:lpstr>
      <vt:lpstr>'SPORMF-iter2'!ResultFile</vt:lpstr>
      <vt:lpstr>'SPORMF-iter2'!Solver.Time</vt:lpstr>
      <vt:lpstr>'SPORMF-iter2'!Solver.Type</vt:lpstr>
      <vt:lpstr>'SPORMF-iter2'!TableInput</vt:lpstr>
      <vt:lpstr>Template.Comment</vt:lpstr>
      <vt:lpstr>Template.CommentSubheading</vt:lpstr>
      <vt:lpstr>Template.Contour</vt:lpstr>
      <vt:lpstr>Template.ExternalFigure</vt:lpstr>
      <vt:lpstr>Template.LoadFile</vt:lpstr>
      <vt:lpstr>Template.Plane</vt:lpstr>
      <vt:lpstr>Template.ReportSettings</vt:lpstr>
      <vt:lpstr>Template.Streamline</vt:lpstr>
      <vt:lpstr>Template.SurfaceGroup</vt:lpstr>
      <vt:lpstr>Template.View</vt:lpstr>
      <vt:lpstr>Template.Wireframe</vt:lpstr>
      <vt:lpstr>'SPORMF-iter2'!TurbulenceModel.Name</vt:lpstr>
      <vt:lpstr>'SPORMF-iter2'!TurbulenceModel.WallFunction</vt:lpstr>
      <vt:lpstr>Types</vt:lpstr>
      <vt:lpstr>'SPORMF-iter2'!UserLocations</vt:lpstr>
      <vt:lpstr>'SPORMF-iter2'!Views.Names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Edebro Daniel (GN-TPP)</dc:creator>
  <cp:lastModifiedBy>Edebro Daniel (GR-TPS)</cp:lastModifiedBy>
  <cp:lastPrinted>2020-05-15T13:42:33Z</cp:lastPrinted>
  <dcterms:created xsi:type="dcterms:W3CDTF">2020-05-11T07:44:45Z</dcterms:created>
  <dcterms:modified xsi:type="dcterms:W3CDTF">2020-05-15T13:42:47Z</dcterms:modified>
</cp:coreProperties>
</file>