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o\Downloads\"/>
    </mc:Choice>
  </mc:AlternateContent>
  <xr:revisionPtr revIDLastSave="0" documentId="13_ncr:1_{6FDB137B-352D-4573-8ABD-AD0D821990CD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SPORMF-iter2" sheetId="1" r:id="rId1"/>
    <sheet name="SIORSP-iter5" sheetId="4" r:id="rId2"/>
    <sheet name="Templates" sheetId="3" r:id="rId3"/>
  </sheets>
  <functionGroups builtInGroupCount="19"/>
  <definedNames>
    <definedName name="BC.Inlet" localSheetId="1">'SIORSP-iter5'!$B$19</definedName>
    <definedName name="BC.Inlet" localSheetId="0">'SPORMF-iter2'!$B$19</definedName>
    <definedName name="BC.Outlet" localSheetId="1">'SIORSP-iter5'!$B$20</definedName>
    <definedName name="BC.Outlet" localSheetId="0">'SPORMF-iter2'!$B$20</definedName>
    <definedName name="ExternalFigures.Convergence" localSheetId="1">'SIORSP-iter5'!$A$24:$C$26</definedName>
    <definedName name="ExternalFigures.Convergence" localSheetId="0">'SPORMF-iter2'!$A$24:$C$26</definedName>
    <definedName name="ExternalFigures.Misc" localSheetId="1">'SIORSP-iter5'!$A$24:$C$26</definedName>
    <definedName name="ExternalFigures.Misc" localSheetId="0">'SPORMF-iter2'!$A$24:$C$26</definedName>
    <definedName name="Figure.Height" localSheetId="1">'SIORSP-iter5'!$B$5</definedName>
    <definedName name="Figure.Height" localSheetId="0">'SPORMF-iter2'!$B$5</definedName>
    <definedName name="Figure.Width" localSheetId="1">'SIORSP-iter5'!$B$6</definedName>
    <definedName name="Figure.Width" localSheetId="0">'SPORMF-iter2'!$B$6</definedName>
    <definedName name="Figures" localSheetId="1">'SIORSP-iter5'!$G$37:$J$52</definedName>
    <definedName name="Figures" localSheetId="0">'SPORMF-iter2'!$G$37:$J$52</definedName>
    <definedName name="Fluid.Density" localSheetId="1">'SIORSP-iter5'!$B$14</definedName>
    <definedName name="Fluid.Density" localSheetId="0">'SPORMF-iter2'!$B$14</definedName>
    <definedName name="Fluid.Description" localSheetId="1">'SIORSP-iter5'!$B$13</definedName>
    <definedName name="Fluid.Description" localSheetId="0">'SPORMF-iter2'!$B$13</definedName>
    <definedName name="Fluid.Other" localSheetId="1">'SIORSP-iter5'!$B$16</definedName>
    <definedName name="Fluid.Other" localSheetId="0">'SPORMF-iter2'!$B$16</definedName>
    <definedName name="Fluid.Viscosity" localSheetId="1">'SIORSP-iter5'!$B$15</definedName>
    <definedName name="Fluid.Viscosity" localSheetId="0">'SPORMF-iter2'!$B$15</definedName>
    <definedName name="Report.Author" localSheetId="1">'SIORSP-iter5'!$B$4</definedName>
    <definedName name="Report.Author" localSheetId="0">'SPORMF-iter2'!$B$4</definedName>
    <definedName name="Report.Path" localSheetId="1">'SIORSP-iter5'!$B$2</definedName>
    <definedName name="Report.Path" localSheetId="0">'SPORMF-iter2'!$B$2</definedName>
    <definedName name="Report.Title" localSheetId="1">'SIORSP-iter5'!$B$3</definedName>
    <definedName name="Report.Title" localSheetId="0">'SPORMF-iter2'!$B$3</definedName>
    <definedName name="Solver.Time" localSheetId="1">'SIORSP-iter5'!$C$9</definedName>
    <definedName name="Solver.Time" localSheetId="0">'SPORMF-iter2'!$C$9</definedName>
    <definedName name="Solver.Type" localSheetId="1">'SIORSP-iter5'!$B$9</definedName>
    <definedName name="Solver.Type" localSheetId="0">'SPORMF-iter2'!$B$9</definedName>
    <definedName name="TemplateComment">Templates!$B$2</definedName>
    <definedName name="TemplateCommentSubheading">Templates!$B$3</definedName>
    <definedName name="TemplateExternalFigure">Templates!$B$1</definedName>
    <definedName name="TemplateReportSettings">Templates!$B$4</definedName>
    <definedName name="TurbulenceModel.Name" localSheetId="1">'SIORSP-iter5'!$B$10</definedName>
    <definedName name="TurbulenceModel.Name" localSheetId="0">'SPORMF-iter2'!$B$10</definedName>
    <definedName name="TurbulenceModel.WallFunction" localSheetId="1">'SIORSP-iter5'!$C$10</definedName>
    <definedName name="TurbulenceModel.WallFunction" localSheetId="0">'SPORMF-iter2'!$C$10</definedName>
    <definedName name="Types">Templates!$A$32:$A$39</definedName>
    <definedName name="UserLocations" localSheetId="1">'SIORSP-iter5'!$A$37:$B$50</definedName>
    <definedName name="UserLocations" localSheetId="0">'SPORMF-iter2'!$A$37:$B$50</definedName>
    <definedName name="Views.Names" localSheetId="1">'SIORSP-iter5'!$D$37:$D$40</definedName>
    <definedName name="Views.Names" localSheetId="0">'SPORMF-iter2'!$D$37:$D$40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9" i="4" l="1"/>
  <c r="J48" i="4"/>
  <c r="J47" i="4"/>
  <c r="J49" i="1"/>
  <c r="J48" i="1"/>
  <c r="J47" i="1"/>
</calcChain>
</file>

<file path=xl/sharedStrings.xml><?xml version="1.0" encoding="utf-8"?>
<sst xmlns="http://schemas.openxmlformats.org/spreadsheetml/2006/main" count="292" uniqueCount="101">
  <si>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</si>
  <si>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</si>
  <si>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</si>
  <si>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</si>
  <si>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</si>
  <si>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</si>
  <si>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</si>
  <si>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</si>
  <si>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</si>
  <si>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</si>
  <si>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</si>
  <si>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</si>
  <si>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</si>
  <si>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</si>
  <si>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</si>
  <si>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Mesh 5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</si>
  <si>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</si>
  <si>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</si>
  <si>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</si>
  <si>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</si>
  <si>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</si>
  <si>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</si>
  <si>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</si>
  <si>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</si>
  <si>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</si>
  <si>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</si>
  <si>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</si>
  <si>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/project/dero/Reports/SPORMF.htm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</si>
  <si>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</si>
  <si>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</si>
  <si>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</si>
  <si>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</si>
  <si>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</si>
  <si>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</si>
  <si>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</si>
  <si>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</si>
  <si>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XZ</t>
  </si>
  <si>
    <t>Plane YZ</t>
  </si>
  <si>
    <t>Plane</t>
  </si>
  <si>
    <t>Wireframe,Surfaces All</t>
  </si>
  <si>
    <t>Wireframe,Plane XY,Plane XZ,Plane YZ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</si>
  <si>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</si>
  <si>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</si>
  <si>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</si>
  <si>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</si>
  <si>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</si>
  <si>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</si>
  <si>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</si>
  <si>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</si>
  <si>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</si>
  <si>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</si>
  <si>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</si>
  <si>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SPORMF iter2 (d=7.2 mm, 8.5 mm, 9.7 mm)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</si>
  <si>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</si>
  <si>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</si>
  <si>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</si>
  <si>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</si>
  <si>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</si>
  <si>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</si>
  <si>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</si>
  <si>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</si>
  <si>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</si>
  <si>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</si>
  <si>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</si>
  <si>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</si>
  <si>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</si>
  <si>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</si>
  <si>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</si>
  <si>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</si>
  <si>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</si>
  <si>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</si>
  <si>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</si>
  <si>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</si>
  <si>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</si>
  <si>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</si>
  <si>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</si>
  <si>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</si>
  <si>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/project/dero/Documents/Strypskivor/SPORMF/SPORMF_iter2_mesh1/SPORMF-iter2-geo.png</t>
  </si>
  <si>
    <t>#</t>
  </si>
  <si>
    <t>Caption</t>
  </si>
  <si>
    <t>Path</t>
  </si>
  <si>
    <t>Boundary conditions</t>
  </si>
  <si>
    <t>Inlet =</t>
  </si>
  <si>
    <t>Outlet =</t>
  </si>
  <si>
    <t>Velocity inlet 3.41538 m/s (28 kg/s). Turbulent intensity = 5%, Turbulent Viscosity ratio = 10</t>
  </si>
  <si>
    <t>Pressure outlet 0 Pa</t>
  </si>
  <si>
    <t>HTML Subheading</t>
  </si>
  <si>
    <t>1.003e-3</t>
  </si>
  <si>
    <t>/project/dero/Documents/Strypskivor/SPORMF/SPORMF_iter2_mesh1/SPORMF-iter2-convergence-p1.png</t>
  </si>
  <si>
    <t>Upstream pressure P1 vs iterations</t>
  </si>
  <si>
    <t>Spaceclaim</t>
  </si>
  <si>
    <t>Objects visible</t>
  </si>
  <si>
    <t>User locations and plot types</t>
  </si>
  <si>
    <t>SIORSP iter5 (d=15 mm, 17 mm, 18.5 mm)</t>
  </si>
  <si>
    <t>Velocity inlet 5.XXX m/s (100 kg/s). Turbulent intensity = 5%, Turbulent Viscosity ratio = 10</t>
  </si>
  <si>
    <t>/project/dero/Reports/SIORSP.htm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</si>
  <si>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</si>
  <si>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># Comment CCL:
COMMENT:</t>
    </r>
    <r>
      <rPr>
        <sz val="11"/>
        <color rgb="FFFF0000"/>
        <rFont val="Courier New"/>
        <family val="3"/>
      </rPr>
      <t>${COMMENT_NAME}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</si>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</sst>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6" fillId="0" borderId="2" applyNumberFormat="0" applyFill="0" applyAlignment="0" applyProtection="0"/>
  </cellStyleXfs>
  <cellXfs count="31">
    <xf numFmtId="0" fontId="0" fillId="0" borderId="0" xfId="0"/>
    <xf numFmtId="0" fontId="1" fillId="0" borderId="1" xfId="1"/>
    <xf numFmtId="0" fontId="1" fillId="0" borderId="0" xfId="1" applyBorder="1"/>
    <xf numFmtId="0" fontId="3" fillId="0" borderId="0" xfId="2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1" fillId="0" borderId="1" xfId="1" applyAlignment="1">
      <alignment horizontal="left"/>
    </xf>
    <xf numFmtId="0" fontId="6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49" fontId="0" fillId="0" borderId="0" xfId="0" applyNumberFormat="1"/>
    <xf numFmtId="0" fontId="1" fillId="0" borderId="0" xfId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7" fillId="2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7" fillId="2" borderId="3" xfId="0" applyFont="1" applyFill="1" applyBorder="1"/>
    <xf numFmtId="0" fontId="7" fillId="2" borderId="9" xfId="0" applyFont="1" applyFill="1" applyBorder="1"/>
    <xf numFmtId="0" fontId="0" fillId="0" borderId="0" xfId="0" applyBorder="1"/>
    <xf numFmtId="0" fontId="0" fillId="0" borderId="10" xfId="0" applyBorder="1"/>
    <xf numFmtId="0" fontId="7" fillId="2" borderId="11" xfId="0" applyFont="1" applyFill="1" applyBorder="1"/>
    <xf numFmtId="0" fontId="0" fillId="0" borderId="12" xfId="0" applyBorder="1"/>
    <xf numFmtId="0" fontId="0" fillId="0" borderId="13" xfId="0" applyBorder="1"/>
    <xf numFmtId="0" fontId="6" fillId="0" borderId="0" xfId="3" applyBorder="1" applyAlignment="1">
      <alignment horizontal="left"/>
    </xf>
    <xf numFmtId="0" fontId="7" fillId="2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</cellXfs>
  <cellStyles count="4">
    <cellStyle name="Hyperlänk" xfId="2" builtinId="8"/>
    <cellStyle name="Normal" xfId="0" builtinId="0"/>
    <cellStyle name="Rubrik 1" xfId="1" builtinId="16"/>
    <cellStyle name="Rubrik 2" xfId="3" builtinId="17"/>
  </cellStyles>
  <dxfs count="10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104775</xdr:rowOff>
        </xdr:from>
        <xdr:to>
          <xdr:col>5</xdr:col>
          <xdr:colOff>533400</xdr:colOff>
          <xdr:row>7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Reset Figure views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7</xdr:row>
          <xdr:rowOff>228600</xdr:rowOff>
        </xdr:from>
        <xdr:to>
          <xdr:col>5</xdr:col>
          <xdr:colOff>542925</xdr:colOff>
          <xdr:row>11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Set main preferences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5</xdr:col>
          <xdr:colOff>533400</xdr:colOff>
          <xdr:row>4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Publish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104775</xdr:rowOff>
        </xdr:from>
        <xdr:to>
          <xdr:col>5</xdr:col>
          <xdr:colOff>533400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3BCF1E9-4B85-4B17-89C2-6A0DA5CD9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Reset Figure views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7</xdr:row>
          <xdr:rowOff>228600</xdr:rowOff>
        </xdr:from>
        <xdr:to>
          <xdr:col>5</xdr:col>
          <xdr:colOff>542925</xdr:colOff>
          <xdr:row>11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288BCDA-8CCE-4AB4-832E-B5B1DF7B7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Set main preferences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5</xdr:col>
          <xdr:colOff>533400</xdr:colOff>
          <xdr:row>4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A46419F6-C1D8-4511-AF28-5BC2FC60E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Publish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1F2-9C50-49F3-A18A-CC4BDDF064A1}">
  <sheetPr codeName="Blad1"/>
  <dimension ref="A1:O58"/>
  <sheetViews>
    <sheetView tabSelected="1" workbookViewId="0">
      <selection activeCell="C17" sqref="C17"/>
    </sheetView>
  </sheetViews>
  <sheetFormatPr defaultRowHeight="15" x14ac:dyDescent="0.25"/>
  <cols>
    <col min="1" max="1" width="21.140625" customWidth="1"/>
    <col min="2" max="2" width="17.5703125" customWidth="1"/>
    <col min="3" max="3" width="15.42578125" customWidth="1"/>
    <col min="5" max="5" width="15.28515625" customWidth="1"/>
    <col min="7" max="7" width="13.85546875" bestFit="1" customWidth="1"/>
    <col min="8" max="9" width="10.85546875" customWidth="1"/>
    <col min="10" max="10" width="35.7109375" bestFit="1" customWidth="1"/>
  </cols>
  <sheetData>
    <row r="1" spans="1:3" ht="20.25" thickBot="1" x14ac:dyDescent="0.35">
      <c r="A1" s="1" t="s">
        <v>55</v>
      </c>
    </row>
    <row r="2" spans="1:3" ht="15.75" thickTop="1" x14ac:dyDescent="0.25">
      <c r="A2" s="5" t="s">
        <v>51</v>
      </c>
      <c r="B2" t="s">
        <v>27</v>
      </c>
    </row>
    <row r="3" spans="1:3" x14ac:dyDescent="0.25">
      <c r="A3" s="5" t="s">
        <v>23</v>
      </c>
      <c r="B3" t="s">
        <v>52</v>
      </c>
    </row>
    <row r="4" spans="1:3" x14ac:dyDescent="0.25">
      <c r="A4" s="5" t="s">
        <v>53</v>
      </c>
      <c r="B4" t="s">
        <v>54</v>
      </c>
    </row>
    <row r="5" spans="1:3" x14ac:dyDescent="0.25">
      <c r="A5" s="5" t="s">
        <v>24</v>
      </c>
      <c r="B5">
        <v>768</v>
      </c>
      <c r="C5" t="s">
        <v>26</v>
      </c>
    </row>
    <row r="6" spans="1:3" x14ac:dyDescent="0.25">
      <c r="A6" s="5" t="s">
        <v>25</v>
      </c>
      <c r="B6">
        <v>1024</v>
      </c>
      <c r="C6" t="s">
        <v>26</v>
      </c>
    </row>
    <row r="7" spans="1:3" x14ac:dyDescent="0.25">
      <c r="A7" s="5"/>
    </row>
    <row r="8" spans="1:3" ht="20.25" thickBot="1" x14ac:dyDescent="0.35">
      <c r="A8" s="6" t="s">
        <v>56</v>
      </c>
    </row>
    <row r="9" spans="1:3" ht="15.75" thickTop="1" x14ac:dyDescent="0.25">
      <c r="A9" s="5" t="s">
        <v>59</v>
      </c>
      <c r="B9" t="s">
        <v>60</v>
      </c>
      <c r="C9" t="s">
        <v>61</v>
      </c>
    </row>
    <row r="10" spans="1:3" x14ac:dyDescent="0.25">
      <c r="A10" s="5" t="s">
        <v>57</v>
      </c>
      <c r="B10" t="s">
        <v>58</v>
      </c>
      <c r="C10" t="s">
        <v>73</v>
      </c>
    </row>
    <row r="11" spans="1:3" x14ac:dyDescent="0.25">
      <c r="A11" s="5"/>
    </row>
    <row r="12" spans="1:3" ht="18" thickBot="1" x14ac:dyDescent="0.35">
      <c r="A12" s="7" t="s">
        <v>62</v>
      </c>
    </row>
    <row r="13" spans="1:3" ht="15.75" thickTop="1" x14ac:dyDescent="0.25">
      <c r="A13" s="5" t="s">
        <v>65</v>
      </c>
      <c r="B13" t="s">
        <v>66</v>
      </c>
    </row>
    <row r="14" spans="1:3" ht="17.25" x14ac:dyDescent="0.25">
      <c r="A14" s="5" t="s">
        <v>63</v>
      </c>
      <c r="B14" s="12">
        <v>998.2</v>
      </c>
      <c r="C14" t="s">
        <v>64</v>
      </c>
    </row>
    <row r="15" spans="1:3" ht="17.25" x14ac:dyDescent="0.25">
      <c r="A15" s="5" t="s">
        <v>71</v>
      </c>
      <c r="B15" s="12" t="s">
        <v>87</v>
      </c>
      <c r="C15" t="s">
        <v>70</v>
      </c>
    </row>
    <row r="16" spans="1:3" x14ac:dyDescent="0.25">
      <c r="A16" s="5" t="s">
        <v>72</v>
      </c>
      <c r="B16" s="8"/>
    </row>
    <row r="17" spans="1:3" x14ac:dyDescent="0.25">
      <c r="A17" s="5"/>
      <c r="B17" s="8"/>
    </row>
    <row r="18" spans="1:3" ht="18" thickBot="1" x14ac:dyDescent="0.35">
      <c r="A18" s="7" t="s">
        <v>81</v>
      </c>
      <c r="B18" s="8"/>
    </row>
    <row r="19" spans="1:3" ht="15.75" thickTop="1" x14ac:dyDescent="0.25">
      <c r="A19" s="5" t="s">
        <v>82</v>
      </c>
      <c r="B19" s="8" t="s">
        <v>84</v>
      </c>
    </row>
    <row r="20" spans="1:3" x14ac:dyDescent="0.25">
      <c r="A20" s="5" t="s">
        <v>83</v>
      </c>
      <c r="B20" s="8" t="s">
        <v>85</v>
      </c>
    </row>
    <row r="21" spans="1:3" x14ac:dyDescent="0.25">
      <c r="A21" s="5"/>
      <c r="B21" s="8"/>
    </row>
    <row r="22" spans="1:3" ht="17.25" x14ac:dyDescent="0.3">
      <c r="A22" s="27" t="s">
        <v>76</v>
      </c>
      <c r="B22" s="8"/>
    </row>
    <row r="23" spans="1:3" x14ac:dyDescent="0.25">
      <c r="A23" s="28" t="s">
        <v>78</v>
      </c>
      <c r="B23" s="29" t="s">
        <v>79</v>
      </c>
      <c r="C23" s="30" t="s">
        <v>80</v>
      </c>
    </row>
    <row r="24" spans="1:3" x14ac:dyDescent="0.25">
      <c r="A24" s="16">
        <v>1</v>
      </c>
      <c r="B24" s="22" t="s">
        <v>89</v>
      </c>
      <c r="C24" s="17" t="s">
        <v>88</v>
      </c>
    </row>
    <row r="25" spans="1:3" x14ac:dyDescent="0.25">
      <c r="A25" s="16">
        <v>2</v>
      </c>
      <c r="B25" s="22"/>
      <c r="C25" s="17"/>
    </row>
    <row r="26" spans="1:3" x14ac:dyDescent="0.25">
      <c r="A26" s="18">
        <v>3</v>
      </c>
      <c r="B26" s="23"/>
      <c r="C26" s="19"/>
    </row>
    <row r="27" spans="1:3" x14ac:dyDescent="0.25">
      <c r="A27" s="5"/>
      <c r="B27" s="8"/>
    </row>
    <row r="28" spans="1:3" ht="17.25" x14ac:dyDescent="0.3">
      <c r="A28" s="27" t="s">
        <v>74</v>
      </c>
      <c r="B28" s="8"/>
    </row>
    <row r="29" spans="1:3" x14ac:dyDescent="0.25">
      <c r="A29" s="28" t="s">
        <v>78</v>
      </c>
      <c r="B29" s="29" t="s">
        <v>79</v>
      </c>
      <c r="C29" s="30" t="s">
        <v>80</v>
      </c>
    </row>
    <row r="30" spans="1:3" x14ac:dyDescent="0.25">
      <c r="A30" s="16">
        <v>1</v>
      </c>
      <c r="B30" s="22" t="s">
        <v>90</v>
      </c>
      <c r="C30" s="17" t="s">
        <v>77</v>
      </c>
    </row>
    <row r="31" spans="1:3" x14ac:dyDescent="0.25">
      <c r="A31" s="16">
        <v>2</v>
      </c>
      <c r="B31" s="22"/>
      <c r="C31" s="17"/>
    </row>
    <row r="32" spans="1:3" x14ac:dyDescent="0.25">
      <c r="A32" s="18">
        <v>3</v>
      </c>
      <c r="B32" s="23"/>
      <c r="C32" s="19"/>
    </row>
    <row r="33" spans="1:10" x14ac:dyDescent="0.25">
      <c r="A33" s="5"/>
      <c r="B33" s="8"/>
    </row>
    <row r="34" spans="1:10" x14ac:dyDescent="0.25">
      <c r="A34" s="4"/>
    </row>
    <row r="35" spans="1:10" ht="19.5" x14ac:dyDescent="0.3">
      <c r="A35" s="13" t="s">
        <v>28</v>
      </c>
      <c r="D35" s="2" t="s">
        <v>0</v>
      </c>
      <c r="G35" s="2" t="s">
        <v>6</v>
      </c>
    </row>
    <row r="36" spans="1:10" x14ac:dyDescent="0.25">
      <c r="A36" s="14" t="s">
        <v>1</v>
      </c>
      <c r="B36" s="15" t="s">
        <v>29</v>
      </c>
      <c r="D36" s="20" t="s">
        <v>1</v>
      </c>
      <c r="E36" s="15" t="s">
        <v>45</v>
      </c>
      <c r="G36" s="20" t="s">
        <v>1</v>
      </c>
      <c r="H36" s="21" t="s">
        <v>22</v>
      </c>
      <c r="I36" s="21" t="s">
        <v>67</v>
      </c>
      <c r="J36" s="15" t="s">
        <v>91</v>
      </c>
    </row>
    <row r="37" spans="1:10" x14ac:dyDescent="0.25">
      <c r="A37" s="16" t="s">
        <v>30</v>
      </c>
      <c r="B37" s="17" t="s">
        <v>30</v>
      </c>
      <c r="D37" s="16" t="s">
        <v>2</v>
      </c>
      <c r="E37" s="17" t="s">
        <v>46</v>
      </c>
      <c r="G37" s="16" t="s">
        <v>7</v>
      </c>
      <c r="H37" s="22" t="s">
        <v>2</v>
      </c>
      <c r="I37" s="22" t="s">
        <v>68</v>
      </c>
      <c r="J37" s="17" t="s">
        <v>39</v>
      </c>
    </row>
    <row r="38" spans="1:10" x14ac:dyDescent="0.25">
      <c r="A38" s="16" t="s">
        <v>33</v>
      </c>
      <c r="B38" s="17" t="s">
        <v>31</v>
      </c>
      <c r="D38" s="16" t="s">
        <v>3</v>
      </c>
      <c r="E38" s="17" t="s">
        <v>47</v>
      </c>
      <c r="G38" s="16" t="s">
        <v>8</v>
      </c>
      <c r="H38" s="22" t="s">
        <v>3</v>
      </c>
      <c r="I38" s="22" t="s">
        <v>69</v>
      </c>
      <c r="J38" s="17" t="s">
        <v>39</v>
      </c>
    </row>
    <row r="39" spans="1:10" x14ac:dyDescent="0.25">
      <c r="A39" s="16" t="s">
        <v>34</v>
      </c>
      <c r="B39" s="17" t="s">
        <v>31</v>
      </c>
      <c r="D39" s="16" t="s">
        <v>4</v>
      </c>
      <c r="E39" s="17" t="s">
        <v>48</v>
      </c>
      <c r="G39" s="16" t="s">
        <v>9</v>
      </c>
      <c r="H39" s="22" t="s">
        <v>4</v>
      </c>
      <c r="I39" s="22" t="s">
        <v>69</v>
      </c>
      <c r="J39" s="17" t="s">
        <v>39</v>
      </c>
    </row>
    <row r="40" spans="1:10" x14ac:dyDescent="0.25">
      <c r="A40" s="16" t="s">
        <v>35</v>
      </c>
      <c r="B40" s="17" t="s">
        <v>38</v>
      </c>
      <c r="D40" s="18" t="s">
        <v>5</v>
      </c>
      <c r="E40" s="19" t="s">
        <v>49</v>
      </c>
      <c r="G40" s="16" t="s">
        <v>10</v>
      </c>
      <c r="H40" s="22" t="s">
        <v>5</v>
      </c>
      <c r="I40" s="22" t="s">
        <v>69</v>
      </c>
      <c r="J40" s="17" t="s">
        <v>39</v>
      </c>
    </row>
    <row r="41" spans="1:10" x14ac:dyDescent="0.25">
      <c r="A41" s="16" t="s">
        <v>36</v>
      </c>
      <c r="B41" s="17" t="s">
        <v>38</v>
      </c>
      <c r="G41" s="16" t="s">
        <v>32</v>
      </c>
      <c r="H41" s="22" t="s">
        <v>2</v>
      </c>
      <c r="I41" s="22" t="s">
        <v>69</v>
      </c>
      <c r="J41" s="17" t="s">
        <v>40</v>
      </c>
    </row>
    <row r="42" spans="1:10" x14ac:dyDescent="0.25">
      <c r="A42" s="16" t="s">
        <v>37</v>
      </c>
      <c r="B42" s="17" t="s">
        <v>38</v>
      </c>
      <c r="G42" s="16" t="s">
        <v>11</v>
      </c>
      <c r="H42" s="22" t="s">
        <v>2</v>
      </c>
      <c r="I42" s="22" t="s">
        <v>69</v>
      </c>
      <c r="J42" s="17" t="s">
        <v>41</v>
      </c>
    </row>
    <row r="43" spans="1:10" x14ac:dyDescent="0.25">
      <c r="A43" s="16" t="s">
        <v>42</v>
      </c>
      <c r="B43" s="17" t="s">
        <v>50</v>
      </c>
      <c r="G43" s="16" t="s">
        <v>12</v>
      </c>
      <c r="H43" s="22" t="s">
        <v>3</v>
      </c>
      <c r="I43" s="22" t="s">
        <v>69</v>
      </c>
      <c r="J43" s="17" t="s">
        <v>41</v>
      </c>
    </row>
    <row r="44" spans="1:10" x14ac:dyDescent="0.25">
      <c r="A44" s="16" t="s">
        <v>43</v>
      </c>
      <c r="B44" s="17" t="s">
        <v>50</v>
      </c>
      <c r="G44" s="16" t="s">
        <v>13</v>
      </c>
      <c r="H44" s="22" t="s">
        <v>4</v>
      </c>
      <c r="I44" s="22" t="s">
        <v>69</v>
      </c>
      <c r="J44" s="17" t="s">
        <v>41</v>
      </c>
    </row>
    <row r="45" spans="1:10" x14ac:dyDescent="0.25">
      <c r="A45" s="16" t="s">
        <v>44</v>
      </c>
      <c r="B45" s="17" t="s">
        <v>50</v>
      </c>
      <c r="G45" s="16" t="s">
        <v>14</v>
      </c>
      <c r="H45" s="22" t="s">
        <v>5</v>
      </c>
      <c r="I45" s="22" t="s">
        <v>69</v>
      </c>
      <c r="J45" s="17" t="s">
        <v>41</v>
      </c>
    </row>
    <row r="46" spans="1:10" x14ac:dyDescent="0.25">
      <c r="A46" s="16"/>
      <c r="B46" s="17"/>
      <c r="G46" s="16" t="s">
        <v>15</v>
      </c>
      <c r="H46" s="22" t="s">
        <v>2</v>
      </c>
      <c r="I46" s="22" t="s">
        <v>69</v>
      </c>
      <c r="J46" s="17" t="s">
        <v>41</v>
      </c>
    </row>
    <row r="47" spans="1:10" x14ac:dyDescent="0.25">
      <c r="A47" s="16"/>
      <c r="B47" s="17"/>
      <c r="G47" s="16" t="s">
        <v>16</v>
      </c>
      <c r="H47" s="22" t="s">
        <v>4</v>
      </c>
      <c r="I47" s="22" t="s">
        <v>69</v>
      </c>
      <c r="J47" s="17" t="str">
        <f>Cells2List(A37,A43)</f>
        <v>Wireframe,Contour P Plane XY</v>
      </c>
    </row>
    <row r="48" spans="1:10" x14ac:dyDescent="0.25">
      <c r="A48" s="16"/>
      <c r="B48" s="17"/>
      <c r="G48" s="16" t="s">
        <v>17</v>
      </c>
      <c r="H48" s="22" t="s">
        <v>4</v>
      </c>
      <c r="I48" s="22" t="s">
        <v>69</v>
      </c>
      <c r="J48" s="17" t="str">
        <f>Cells2List(A37,A44)</f>
        <v>Wireframe,Contour U Plane XY</v>
      </c>
    </row>
    <row r="49" spans="1:15" x14ac:dyDescent="0.25">
      <c r="A49" s="16"/>
      <c r="B49" s="17"/>
      <c r="G49" s="16" t="s">
        <v>18</v>
      </c>
      <c r="H49" s="22" t="s">
        <v>5</v>
      </c>
      <c r="I49" s="22" t="s">
        <v>69</v>
      </c>
      <c r="J49" s="17" t="str">
        <f>Cells2List(A37,A45)</f>
        <v>Wireframe,Contour P All</v>
      </c>
    </row>
    <row r="50" spans="1:15" x14ac:dyDescent="0.25">
      <c r="A50" s="18"/>
      <c r="B50" s="19"/>
      <c r="G50" s="16" t="s">
        <v>19</v>
      </c>
      <c r="H50" s="22" t="s">
        <v>2</v>
      </c>
      <c r="I50" s="22" t="s">
        <v>69</v>
      </c>
      <c r="J50" s="17"/>
    </row>
    <row r="51" spans="1:15" x14ac:dyDescent="0.25">
      <c r="G51" s="16" t="s">
        <v>20</v>
      </c>
      <c r="H51" s="22" t="s">
        <v>2</v>
      </c>
      <c r="I51" s="22" t="s">
        <v>69</v>
      </c>
      <c r="J51" s="17"/>
    </row>
    <row r="52" spans="1:15" x14ac:dyDescent="0.25">
      <c r="G52" s="18" t="s">
        <v>21</v>
      </c>
      <c r="H52" s="23" t="s">
        <v>2</v>
      </c>
      <c r="I52" s="23" t="s">
        <v>69</v>
      </c>
      <c r="J52" s="19"/>
    </row>
    <row r="58" spans="1:15" x14ac:dyDescent="0.25">
      <c r="O58" s="3"/>
    </row>
  </sheetData>
  <phoneticPr fontId="2" type="noConversion"/>
  <conditionalFormatting sqref="A24:C26">
    <cfRule type="expression" dxfId="9" priority="5">
      <formula>MOD(ROW()+MOD(ROW($A$24),2),2)=0</formula>
    </cfRule>
  </conditionalFormatting>
  <conditionalFormatting sqref="A30:C32">
    <cfRule type="expression" dxfId="8" priority="4">
      <formula>MOD(ROW()+MOD(ROW($A$30),2),2)=0</formula>
    </cfRule>
  </conditionalFormatting>
  <conditionalFormatting sqref="A37:B50">
    <cfRule type="expression" dxfId="7" priority="3">
      <formula>MOD(ROW()+MOD(ROW($A$37),2),2)=0</formula>
    </cfRule>
  </conditionalFormatting>
  <conditionalFormatting sqref="D37:E40">
    <cfRule type="expression" dxfId="6" priority="2">
      <formula>MOD(ROW()+MOD(ROW($D$37),2),2)=0</formula>
    </cfRule>
  </conditionalFormatting>
  <conditionalFormatting sqref="G37:J52">
    <cfRule type="expression" dxfId="5" priority="1">
      <formula>MOD(ROW()+MOD(ROW($G$37),2),2)=0</formula>
    </cfRule>
  </conditionalFormatting>
  <dataValidations count="5">
    <dataValidation type="list" allowBlank="1" showInputMessage="1" showErrorMessage="1" sqref="H37:H52" xr:uid="{893B67CE-81B4-4CCA-93A4-AAA587735787}">
      <formula1>Views.Names</formula1>
    </dataValidation>
    <dataValidation type="list" allowBlank="1" showInputMessage="1" showErrorMessage="1" sqref="P47 B37:B50" xr:uid="{DB3A9474-B7D5-4D2B-BB81-1BF01343B13E}">
      <formula1>Types</formula1>
    </dataValidation>
    <dataValidation type="list" allowBlank="1" showInputMessage="1" showErrorMessage="1" sqref="B9" xr:uid="{7A541820-A70A-4813-B989-9E5DEBCAED59}">
      <formula1>"Pressure-Based,Density-Based"</formula1>
    </dataValidation>
    <dataValidation type="list" allowBlank="1" showInputMessage="1" showErrorMessage="1" sqref="C9" xr:uid="{AE38C2D8-9DCC-4984-984C-21DAD435DFA5}">
      <formula1>"Steady,Transient"</formula1>
    </dataValidation>
    <dataValidation type="list" allowBlank="1" showInputMessage="1" showErrorMessage="1" sqref="I37:I52" xr:uid="{9B0E63F3-FF1B-4A05-869D-36B20CE983AA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iguresSetViews">
                <anchor moveWithCells="1" sizeWithCells="1">
                  <from>
                    <xdr:col>3</xdr:col>
                    <xdr:colOff>581025</xdr:colOff>
                    <xdr:row>5</xdr:row>
                    <xdr:rowOff>104775</xdr:rowOff>
                  </from>
                  <to>
                    <xdr:col>5</xdr:col>
                    <xdr:colOff>533400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ainPreferences">
                <anchor moveWithCells="1" sizeWithCells="1">
                  <from>
                    <xdr:col>3</xdr:col>
                    <xdr:colOff>590550</xdr:colOff>
                    <xdr:row>7</xdr:row>
                    <xdr:rowOff>228600</xdr:rowOff>
                  </from>
                  <to>
                    <xdr:col>5</xdr:col>
                    <xdr:colOff>542925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eportPublish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5</xdr:col>
                    <xdr:colOff>533400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4770-C9DF-4490-9B7F-0F2CA139A9BF}">
  <sheetPr codeName="Blad3"/>
  <dimension ref="A1:O58"/>
  <sheetViews>
    <sheetView workbookViewId="0">
      <selection activeCell="J17" sqref="J17"/>
    </sheetView>
  </sheetViews>
  <sheetFormatPr defaultRowHeight="15" x14ac:dyDescent="0.25"/>
  <cols>
    <col min="1" max="1" width="21.140625" customWidth="1"/>
    <col min="2" max="2" width="17.5703125" customWidth="1"/>
    <col min="3" max="3" width="15.42578125" customWidth="1"/>
    <col min="5" max="5" width="13.28515625" customWidth="1"/>
    <col min="7" max="7" width="13.85546875" bestFit="1" customWidth="1"/>
    <col min="8" max="9" width="10.85546875" customWidth="1"/>
    <col min="10" max="10" width="35.7109375" bestFit="1" customWidth="1"/>
  </cols>
  <sheetData>
    <row r="1" spans="1:3" ht="20.25" thickBot="1" x14ac:dyDescent="0.35">
      <c r="A1" s="1" t="s">
        <v>55</v>
      </c>
    </row>
    <row r="2" spans="1:3" ht="15.75" thickTop="1" x14ac:dyDescent="0.25">
      <c r="A2" s="5" t="s">
        <v>51</v>
      </c>
      <c r="B2" t="s">
        <v>95</v>
      </c>
    </row>
    <row r="3" spans="1:3" x14ac:dyDescent="0.25">
      <c r="A3" s="5" t="s">
        <v>23</v>
      </c>
      <c r="B3" t="s">
        <v>93</v>
      </c>
    </row>
    <row r="4" spans="1:3" x14ac:dyDescent="0.25">
      <c r="A4" s="5" t="s">
        <v>53</v>
      </c>
      <c r="B4" t="s">
        <v>54</v>
      </c>
    </row>
    <row r="5" spans="1:3" x14ac:dyDescent="0.25">
      <c r="A5" s="5" t="s">
        <v>24</v>
      </c>
      <c r="B5">
        <v>768</v>
      </c>
      <c r="C5" t="s">
        <v>26</v>
      </c>
    </row>
    <row r="6" spans="1:3" x14ac:dyDescent="0.25">
      <c r="A6" s="5" t="s">
        <v>25</v>
      </c>
      <c r="B6">
        <v>1024</v>
      </c>
      <c r="C6" t="s">
        <v>26</v>
      </c>
    </row>
    <row r="7" spans="1:3" x14ac:dyDescent="0.25">
      <c r="A7" s="5"/>
    </row>
    <row r="8" spans="1:3" ht="20.25" thickBot="1" x14ac:dyDescent="0.35">
      <c r="A8" s="6" t="s">
        <v>56</v>
      </c>
    </row>
    <row r="9" spans="1:3" ht="15.75" thickTop="1" x14ac:dyDescent="0.25">
      <c r="A9" s="5" t="s">
        <v>59</v>
      </c>
      <c r="B9" t="s">
        <v>60</v>
      </c>
      <c r="C9" t="s">
        <v>61</v>
      </c>
    </row>
    <row r="10" spans="1:3" x14ac:dyDescent="0.25">
      <c r="A10" s="5" t="s">
        <v>57</v>
      </c>
      <c r="B10" t="s">
        <v>58</v>
      </c>
      <c r="C10" t="s">
        <v>73</v>
      </c>
    </row>
    <row r="11" spans="1:3" x14ac:dyDescent="0.25">
      <c r="A11" s="5"/>
    </row>
    <row r="12" spans="1:3" ht="18" thickBot="1" x14ac:dyDescent="0.35">
      <c r="A12" s="7" t="s">
        <v>62</v>
      </c>
    </row>
    <row r="13" spans="1:3" ht="15.75" thickTop="1" x14ac:dyDescent="0.25">
      <c r="A13" s="5" t="s">
        <v>65</v>
      </c>
      <c r="B13" t="s">
        <v>66</v>
      </c>
    </row>
    <row r="14" spans="1:3" ht="17.25" x14ac:dyDescent="0.25">
      <c r="A14" s="5" t="s">
        <v>63</v>
      </c>
      <c r="B14" s="12">
        <v>998.2</v>
      </c>
      <c r="C14" t="s">
        <v>64</v>
      </c>
    </row>
    <row r="15" spans="1:3" ht="17.25" x14ac:dyDescent="0.25">
      <c r="A15" s="5" t="s">
        <v>71</v>
      </c>
      <c r="B15" s="12" t="s">
        <v>87</v>
      </c>
      <c r="C15" t="s">
        <v>70</v>
      </c>
    </row>
    <row r="16" spans="1:3" x14ac:dyDescent="0.25">
      <c r="A16" s="5" t="s">
        <v>72</v>
      </c>
      <c r="B16" s="8"/>
    </row>
    <row r="17" spans="1:3" x14ac:dyDescent="0.25">
      <c r="A17" s="5"/>
      <c r="B17" s="8"/>
    </row>
    <row r="18" spans="1:3" ht="18" thickBot="1" x14ac:dyDescent="0.35">
      <c r="A18" s="7" t="s">
        <v>81</v>
      </c>
      <c r="B18" s="8"/>
    </row>
    <row r="19" spans="1:3" ht="15.75" thickTop="1" x14ac:dyDescent="0.25">
      <c r="A19" s="5" t="s">
        <v>82</v>
      </c>
      <c r="B19" s="8" t="s">
        <v>94</v>
      </c>
    </row>
    <row r="20" spans="1:3" x14ac:dyDescent="0.25">
      <c r="A20" s="5" t="s">
        <v>83</v>
      </c>
      <c r="B20" s="8" t="s">
        <v>85</v>
      </c>
    </row>
    <row r="21" spans="1:3" x14ac:dyDescent="0.25">
      <c r="A21" s="5"/>
      <c r="B21" s="8"/>
    </row>
    <row r="22" spans="1:3" ht="17.25" x14ac:dyDescent="0.3">
      <c r="A22" s="27" t="s">
        <v>76</v>
      </c>
      <c r="B22" s="8"/>
    </row>
    <row r="23" spans="1:3" x14ac:dyDescent="0.25">
      <c r="A23" s="28" t="s">
        <v>78</v>
      </c>
      <c r="B23" s="29" t="s">
        <v>79</v>
      </c>
      <c r="C23" s="30" t="s">
        <v>80</v>
      </c>
    </row>
    <row r="24" spans="1:3" x14ac:dyDescent="0.25">
      <c r="A24" s="16">
        <v>1</v>
      </c>
      <c r="B24" s="22" t="s">
        <v>89</v>
      </c>
      <c r="C24" s="17" t="s">
        <v>88</v>
      </c>
    </row>
    <row r="25" spans="1:3" x14ac:dyDescent="0.25">
      <c r="A25" s="16">
        <v>2</v>
      </c>
      <c r="B25" s="22"/>
      <c r="C25" s="17"/>
    </row>
    <row r="26" spans="1:3" x14ac:dyDescent="0.25">
      <c r="A26" s="18">
        <v>3</v>
      </c>
      <c r="B26" s="23"/>
      <c r="C26" s="19"/>
    </row>
    <row r="27" spans="1:3" x14ac:dyDescent="0.25">
      <c r="A27" s="5"/>
      <c r="B27" s="8"/>
    </row>
    <row r="28" spans="1:3" ht="17.25" x14ac:dyDescent="0.3">
      <c r="A28" s="27" t="s">
        <v>74</v>
      </c>
      <c r="B28" s="8"/>
    </row>
    <row r="29" spans="1:3" x14ac:dyDescent="0.25">
      <c r="A29" s="28" t="s">
        <v>78</v>
      </c>
      <c r="B29" s="29" t="s">
        <v>79</v>
      </c>
      <c r="C29" s="30" t="s">
        <v>80</v>
      </c>
    </row>
    <row r="30" spans="1:3" x14ac:dyDescent="0.25">
      <c r="A30" s="16">
        <v>1</v>
      </c>
      <c r="B30" s="22" t="s">
        <v>90</v>
      </c>
      <c r="C30" s="17" t="s">
        <v>77</v>
      </c>
    </row>
    <row r="31" spans="1:3" x14ac:dyDescent="0.25">
      <c r="A31" s="16">
        <v>2</v>
      </c>
      <c r="B31" s="22"/>
      <c r="C31" s="17"/>
    </row>
    <row r="32" spans="1:3" x14ac:dyDescent="0.25">
      <c r="A32" s="18">
        <v>3</v>
      </c>
      <c r="B32" s="23"/>
      <c r="C32" s="19"/>
    </row>
    <row r="33" spans="1:10" x14ac:dyDescent="0.25">
      <c r="A33" s="5"/>
      <c r="B33" s="8"/>
    </row>
    <row r="34" spans="1:10" x14ac:dyDescent="0.25">
      <c r="A34" s="4"/>
    </row>
    <row r="35" spans="1:10" ht="19.5" x14ac:dyDescent="0.3">
      <c r="A35" s="13" t="s">
        <v>28</v>
      </c>
      <c r="D35" s="2" t="s">
        <v>0</v>
      </c>
      <c r="G35" s="2" t="s">
        <v>6</v>
      </c>
    </row>
    <row r="36" spans="1:10" x14ac:dyDescent="0.25">
      <c r="A36" s="14" t="s">
        <v>1</v>
      </c>
      <c r="B36" s="15" t="s">
        <v>29</v>
      </c>
      <c r="D36" s="20" t="s">
        <v>1</v>
      </c>
      <c r="E36" s="15" t="s">
        <v>45</v>
      </c>
      <c r="G36" s="20" t="s">
        <v>1</v>
      </c>
      <c r="H36" s="21" t="s">
        <v>22</v>
      </c>
      <c r="I36" s="21" t="s">
        <v>67</v>
      </c>
      <c r="J36" s="15" t="s">
        <v>91</v>
      </c>
    </row>
    <row r="37" spans="1:10" x14ac:dyDescent="0.25">
      <c r="A37" s="16" t="s">
        <v>30</v>
      </c>
      <c r="B37" s="17" t="s">
        <v>30</v>
      </c>
      <c r="D37" s="16" t="s">
        <v>2</v>
      </c>
      <c r="E37" s="17" t="s">
        <v>46</v>
      </c>
      <c r="G37" s="16" t="s">
        <v>7</v>
      </c>
      <c r="H37" s="22" t="s">
        <v>2</v>
      </c>
      <c r="I37" s="22" t="s">
        <v>68</v>
      </c>
      <c r="J37" s="17" t="s">
        <v>39</v>
      </c>
    </row>
    <row r="38" spans="1:10" x14ac:dyDescent="0.25">
      <c r="A38" s="16" t="s">
        <v>33</v>
      </c>
      <c r="B38" s="17" t="s">
        <v>31</v>
      </c>
      <c r="D38" s="16" t="s">
        <v>3</v>
      </c>
      <c r="E38" s="17" t="s">
        <v>47</v>
      </c>
      <c r="G38" s="16" t="s">
        <v>8</v>
      </c>
      <c r="H38" s="22" t="s">
        <v>3</v>
      </c>
      <c r="I38" s="22" t="s">
        <v>69</v>
      </c>
      <c r="J38" s="17" t="s">
        <v>39</v>
      </c>
    </row>
    <row r="39" spans="1:10" x14ac:dyDescent="0.25">
      <c r="A39" s="16" t="s">
        <v>34</v>
      </c>
      <c r="B39" s="17" t="s">
        <v>31</v>
      </c>
      <c r="D39" s="16" t="s">
        <v>4</v>
      </c>
      <c r="E39" s="17" t="s">
        <v>48</v>
      </c>
      <c r="G39" s="16" t="s">
        <v>9</v>
      </c>
      <c r="H39" s="22" t="s">
        <v>4</v>
      </c>
      <c r="I39" s="22" t="s">
        <v>69</v>
      </c>
      <c r="J39" s="17" t="s">
        <v>39</v>
      </c>
    </row>
    <row r="40" spans="1:10" x14ac:dyDescent="0.25">
      <c r="A40" s="16" t="s">
        <v>35</v>
      </c>
      <c r="B40" s="17" t="s">
        <v>38</v>
      </c>
      <c r="D40" s="18" t="s">
        <v>5</v>
      </c>
      <c r="E40" s="19" t="s">
        <v>49</v>
      </c>
      <c r="G40" s="16" t="s">
        <v>10</v>
      </c>
      <c r="H40" s="22" t="s">
        <v>5</v>
      </c>
      <c r="I40" s="22" t="s">
        <v>69</v>
      </c>
      <c r="J40" s="17" t="s">
        <v>39</v>
      </c>
    </row>
    <row r="41" spans="1:10" x14ac:dyDescent="0.25">
      <c r="A41" s="16" t="s">
        <v>36</v>
      </c>
      <c r="B41" s="17" t="s">
        <v>38</v>
      </c>
      <c r="G41" s="16" t="s">
        <v>32</v>
      </c>
      <c r="H41" s="22" t="s">
        <v>2</v>
      </c>
      <c r="I41" s="22" t="s">
        <v>69</v>
      </c>
      <c r="J41" s="17" t="s">
        <v>40</v>
      </c>
    </row>
    <row r="42" spans="1:10" x14ac:dyDescent="0.25">
      <c r="A42" s="16" t="s">
        <v>37</v>
      </c>
      <c r="B42" s="17" t="s">
        <v>38</v>
      </c>
      <c r="G42" s="16" t="s">
        <v>11</v>
      </c>
      <c r="H42" s="22" t="s">
        <v>2</v>
      </c>
      <c r="I42" s="22" t="s">
        <v>69</v>
      </c>
      <c r="J42" s="17" t="s">
        <v>41</v>
      </c>
    </row>
    <row r="43" spans="1:10" x14ac:dyDescent="0.25">
      <c r="A43" s="16" t="s">
        <v>42</v>
      </c>
      <c r="B43" s="17" t="s">
        <v>50</v>
      </c>
      <c r="G43" s="16" t="s">
        <v>12</v>
      </c>
      <c r="H43" s="22" t="s">
        <v>3</v>
      </c>
      <c r="I43" s="22" t="s">
        <v>69</v>
      </c>
      <c r="J43" s="17" t="s">
        <v>41</v>
      </c>
    </row>
    <row r="44" spans="1:10" x14ac:dyDescent="0.25">
      <c r="A44" s="16" t="s">
        <v>43</v>
      </c>
      <c r="B44" s="17" t="s">
        <v>50</v>
      </c>
      <c r="G44" s="16" t="s">
        <v>13</v>
      </c>
      <c r="H44" s="22" t="s">
        <v>4</v>
      </c>
      <c r="I44" s="22" t="s">
        <v>69</v>
      </c>
      <c r="J44" s="17" t="s">
        <v>41</v>
      </c>
    </row>
    <row r="45" spans="1:10" x14ac:dyDescent="0.25">
      <c r="A45" s="16" t="s">
        <v>44</v>
      </c>
      <c r="B45" s="17" t="s">
        <v>50</v>
      </c>
      <c r="G45" s="16" t="s">
        <v>14</v>
      </c>
      <c r="H45" s="22" t="s">
        <v>5</v>
      </c>
      <c r="I45" s="22" t="s">
        <v>69</v>
      </c>
      <c r="J45" s="17" t="s">
        <v>41</v>
      </c>
    </row>
    <row r="46" spans="1:10" x14ac:dyDescent="0.25">
      <c r="A46" s="16"/>
      <c r="B46" s="17"/>
      <c r="G46" s="16" t="s">
        <v>15</v>
      </c>
      <c r="H46" s="22" t="s">
        <v>2</v>
      </c>
      <c r="I46" s="22" t="s">
        <v>69</v>
      </c>
      <c r="J46" s="17" t="s">
        <v>41</v>
      </c>
    </row>
    <row r="47" spans="1:10" x14ac:dyDescent="0.25">
      <c r="A47" s="16"/>
      <c r="B47" s="17"/>
      <c r="G47" s="16" t="s">
        <v>16</v>
      </c>
      <c r="H47" s="22" t="s">
        <v>4</v>
      </c>
      <c r="I47" s="22" t="s">
        <v>69</v>
      </c>
      <c r="J47" s="17" t="str">
        <f>Cells2List(A37,A43)</f>
        <v>Wireframe,Contour P Plane XY</v>
      </c>
    </row>
    <row r="48" spans="1:10" x14ac:dyDescent="0.25">
      <c r="A48" s="16"/>
      <c r="B48" s="17"/>
      <c r="G48" s="16" t="s">
        <v>17</v>
      </c>
      <c r="H48" s="22" t="s">
        <v>4</v>
      </c>
      <c r="I48" s="22" t="s">
        <v>69</v>
      </c>
      <c r="J48" s="17" t="str">
        <f>Cells2List(A37,A44)</f>
        <v>Wireframe,Contour U Plane XY</v>
      </c>
    </row>
    <row r="49" spans="1:15" x14ac:dyDescent="0.25">
      <c r="A49" s="16"/>
      <c r="B49" s="17"/>
      <c r="G49" s="16" t="s">
        <v>18</v>
      </c>
      <c r="H49" s="22" t="s">
        <v>5</v>
      </c>
      <c r="I49" s="22" t="s">
        <v>69</v>
      </c>
      <c r="J49" s="17" t="str">
        <f>Cells2List(A37,A45)</f>
        <v>Wireframe,Contour P All</v>
      </c>
    </row>
    <row r="50" spans="1:15" x14ac:dyDescent="0.25">
      <c r="A50" s="18"/>
      <c r="B50" s="19"/>
      <c r="G50" s="16" t="s">
        <v>19</v>
      </c>
      <c r="H50" s="22" t="s">
        <v>2</v>
      </c>
      <c r="I50" s="22" t="s">
        <v>69</v>
      </c>
      <c r="J50" s="17"/>
    </row>
    <row r="51" spans="1:15" x14ac:dyDescent="0.25">
      <c r="G51" s="16" t="s">
        <v>20</v>
      </c>
      <c r="H51" s="22" t="s">
        <v>2</v>
      </c>
      <c r="I51" s="22" t="s">
        <v>69</v>
      </c>
      <c r="J51" s="17"/>
    </row>
    <row r="52" spans="1:15" x14ac:dyDescent="0.25">
      <c r="G52" s="18" t="s">
        <v>21</v>
      </c>
      <c r="H52" s="23" t="s">
        <v>2</v>
      </c>
      <c r="I52" s="23" t="s">
        <v>69</v>
      </c>
      <c r="J52" s="19"/>
    </row>
    <row r="58" spans="1:15" x14ac:dyDescent="0.25">
      <c r="O58" s="3"/>
    </row>
  </sheetData>
  <conditionalFormatting sqref="A24:C26">
    <cfRule type="expression" dxfId="4" priority="5">
      <formula>MOD(ROW()+MOD(ROW($A$24),2),2)=0</formula>
    </cfRule>
  </conditionalFormatting>
  <conditionalFormatting sqref="A30:C32">
    <cfRule type="expression" dxfId="3" priority="4">
      <formula>MOD(ROW()+MOD(ROW($A$30),2),2)=0</formula>
    </cfRule>
  </conditionalFormatting>
  <conditionalFormatting sqref="A37:B50">
    <cfRule type="expression" dxfId="2" priority="3">
      <formula>MOD(ROW()+MOD(ROW($A$37),2),2)=0</formula>
    </cfRule>
  </conditionalFormatting>
  <conditionalFormatting sqref="D37:E40">
    <cfRule type="expression" dxfId="1" priority="2">
      <formula>MOD(ROW()+MOD(ROW($D$37),2),2)=0</formula>
    </cfRule>
  </conditionalFormatting>
  <conditionalFormatting sqref="G37:J52">
    <cfRule type="expression" dxfId="0" priority="1">
      <formula>MOD(ROW()+MOD(ROW($G$37),2),2)=0</formula>
    </cfRule>
  </conditionalFormatting>
  <dataValidations count="5">
    <dataValidation type="list" allowBlank="1" showInputMessage="1" showErrorMessage="1" sqref="I37:I52" xr:uid="{D9DB9F24-43B1-47D0-A79D-7EE0E9CA1C92}">
      <formula1>"Yes,No"</formula1>
    </dataValidation>
    <dataValidation type="list" allowBlank="1" showInputMessage="1" showErrorMessage="1" sqref="C9" xr:uid="{CF8F0AF6-45DD-42D1-A118-484EB76925D8}">
      <formula1>"Steady,Transient"</formula1>
    </dataValidation>
    <dataValidation type="list" allowBlank="1" showInputMessage="1" showErrorMessage="1" sqref="B9" xr:uid="{13A8AACE-5F30-4872-88FA-24FA3CEDAA15}">
      <formula1>"Pressure-Based,Density-Based"</formula1>
    </dataValidation>
    <dataValidation type="list" allowBlank="1" showInputMessage="1" showErrorMessage="1" sqref="P47 B37:B50" xr:uid="{BB863CBC-6981-4C8E-BCD6-9D342C41BDDF}">
      <formula1>Types</formula1>
    </dataValidation>
    <dataValidation type="list" allowBlank="1" showInputMessage="1" showErrorMessage="1" sqref="H37:H52" xr:uid="{0CA135D5-6FA8-401D-A732-D9FF6446A304}">
      <formula1>Views.Names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guresSetViews">
                <anchor moveWithCells="1" sizeWithCells="1">
                  <from>
                    <xdr:col>3</xdr:col>
                    <xdr:colOff>581025</xdr:colOff>
                    <xdr:row>5</xdr:row>
                    <xdr:rowOff>104775</xdr:rowOff>
                  </from>
                  <to>
                    <xdr:col>5</xdr:col>
                    <xdr:colOff>533400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inPreferences">
                <anchor moveWithCells="1" sizeWithCells="1">
                  <from>
                    <xdr:col>3</xdr:col>
                    <xdr:colOff>590550</xdr:colOff>
                    <xdr:row>7</xdr:row>
                    <xdr:rowOff>228600</xdr:rowOff>
                  </from>
                  <to>
                    <xdr:col>5</xdr:col>
                    <xdr:colOff>542925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portPublish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5</xdr:col>
                    <xdr:colOff>533400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B40"/>
  <sheetViews>
    <sheetView workbookViewId="0">
      <selection activeCell="B1" sqref="B1"/>
    </sheetView>
  </sheetViews>
  <sheetFormatPr defaultRowHeight="15" x14ac:dyDescent="0.25"/>
  <cols>
    <col min="1" max="1" width="23.5703125" style="9" customWidth="1"/>
    <col min="2" max="2" width="106.42578125" style="11" customWidth="1"/>
  </cols>
  <sheetData>
    <row r="1" spans="1:2" ht="90" x14ac:dyDescent="0.25">
      <c r="A1" s="9" t="s">
        <v>74</v>
      </c>
      <c r="B1" s="10" t="s">
        <v>96</v>
      </c>
    </row>
    <row r="2" spans="1:2" ht="120" x14ac:dyDescent="0.25">
      <c r="A2" s="9" t="s">
        <v>75</v>
      </c>
      <c r="B2" s="10" t="s">
        <v>97</v>
      </c>
    </row>
    <row r="3" spans="1:2" x14ac:dyDescent="0.25">
      <c r="A3" s="9" t="s">
        <v>86</v>
      </c>
      <c r="B3" s="10" t="s">
        <v>99</v>
      </c>
    </row>
    <row r="4" spans="1:2" ht="409.5" x14ac:dyDescent="0.25">
      <c r="A4" s="9" t="s">
        <v>100</v>
      </c>
      <c r="B4" s="10" t="s">
        <v>98</v>
      </c>
    </row>
    <row r="8" spans="1:2" x14ac:dyDescent="0.25">
      <c r="B8" s="10"/>
    </row>
    <row r="29" spans="1:1" ht="20.25" thickBot="1" x14ac:dyDescent="0.35">
      <c r="A29" s="1" t="s">
        <v>92</v>
      </c>
    </row>
    <row r="30" spans="1:1" ht="15.75" thickTop="1" x14ac:dyDescent="0.25">
      <c r="A30"/>
    </row>
    <row r="31" spans="1:1" x14ac:dyDescent="0.25">
      <c r="A31" s="24" t="s">
        <v>29</v>
      </c>
    </row>
    <row r="32" spans="1:1" x14ac:dyDescent="0.25">
      <c r="A32" s="25" t="s">
        <v>30</v>
      </c>
    </row>
    <row r="33" spans="1:1" x14ac:dyDescent="0.25">
      <c r="A33" s="25" t="s">
        <v>31</v>
      </c>
    </row>
    <row r="34" spans="1:1" x14ac:dyDescent="0.25">
      <c r="A34" s="25" t="s">
        <v>38</v>
      </c>
    </row>
    <row r="35" spans="1:1" x14ac:dyDescent="0.25">
      <c r="A35" s="25" t="s">
        <v>50</v>
      </c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6"/>
    </row>
    <row r="40" spans="1:1" x14ac:dyDescent="0.25">
      <c r="A40"/>
    </row>
  </sheetData>
  <dataValidations count="1">
    <dataValidation type="list" allowBlank="1" showInputMessage="1" showErrorMessage="1" sqref="A32:A35" xr:uid="{7B44C716-64AA-478D-A745-7647D12D42D0}">
      <formula1>"Surface group,Contour,Wireframe,Plane"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3</vt:i4>
      </vt:variant>
      <vt:variant>
        <vt:lpstr>Namngivna områden</vt:lpstr>
      </vt:variant>
      <vt:variant>
        <vt:i4>45</vt:i4>
      </vt:variant>
    </vt:vector>
  </HeadingPairs>
  <TitlesOfParts>
    <vt:vector size="48" baseType="lpstr">
      <vt:lpstr>SPORMF-iter2</vt:lpstr>
      <vt:lpstr>SIORSP-iter5</vt:lpstr>
      <vt:lpstr>Templates</vt:lpstr>
      <vt:lpstr>'SIORSP-iter5'!BC.Inlet</vt:lpstr>
      <vt:lpstr>'SPORMF-iter2'!BC.Inlet</vt:lpstr>
      <vt:lpstr>'SIORSP-iter5'!BC.Outlet</vt:lpstr>
      <vt:lpstr>'SPORMF-iter2'!BC.Outlet</vt:lpstr>
      <vt:lpstr>'SIORSP-iter5'!ExternalFigures.Convergence</vt:lpstr>
      <vt:lpstr>'SPORMF-iter2'!ExternalFigures.Convergence</vt:lpstr>
      <vt:lpstr>'SIORSP-iter5'!ExternalFigures.Misc</vt:lpstr>
      <vt:lpstr>'SPORMF-iter2'!ExternalFigures.Misc</vt:lpstr>
      <vt:lpstr>'SIORSP-iter5'!Figure.Height</vt:lpstr>
      <vt:lpstr>'SPORMF-iter2'!Figure.Height</vt:lpstr>
      <vt:lpstr>'SIORSP-iter5'!Figure.Width</vt:lpstr>
      <vt:lpstr>'SPORMF-iter2'!Figure.Width</vt:lpstr>
      <vt:lpstr>'SIORSP-iter5'!Figures</vt:lpstr>
      <vt:lpstr>'SPORMF-iter2'!Figures</vt:lpstr>
      <vt:lpstr>'SIORSP-iter5'!Fluid.Density</vt:lpstr>
      <vt:lpstr>'SPORMF-iter2'!Fluid.Density</vt:lpstr>
      <vt:lpstr>'SIORSP-iter5'!Fluid.Description</vt:lpstr>
      <vt:lpstr>'SPORMF-iter2'!Fluid.Description</vt:lpstr>
      <vt:lpstr>'SIORSP-iter5'!Fluid.Other</vt:lpstr>
      <vt:lpstr>'SPORMF-iter2'!Fluid.Other</vt:lpstr>
      <vt:lpstr>'SIORSP-iter5'!Fluid.Viscosity</vt:lpstr>
      <vt:lpstr>'SPORMF-iter2'!Fluid.Viscosity</vt:lpstr>
      <vt:lpstr>'SIORSP-iter5'!Report.Author</vt:lpstr>
      <vt:lpstr>'SPORMF-iter2'!Report.Author</vt:lpstr>
      <vt:lpstr>'SIORSP-iter5'!Report.Path</vt:lpstr>
      <vt:lpstr>'SPORMF-iter2'!Report.Path</vt:lpstr>
      <vt:lpstr>'SIORSP-iter5'!Report.Title</vt:lpstr>
      <vt:lpstr>'SPORMF-iter2'!Report.Title</vt:lpstr>
      <vt:lpstr>'SIORSP-iter5'!Solver.Time</vt:lpstr>
      <vt:lpstr>'SPORMF-iter2'!Solver.Time</vt:lpstr>
      <vt:lpstr>'SIORSP-iter5'!Solver.Type</vt:lpstr>
      <vt:lpstr>'SPORMF-iter2'!Solver.Type</vt:lpstr>
      <vt:lpstr>TemplateComment</vt:lpstr>
      <vt:lpstr>TemplateCommentSubheading</vt:lpstr>
      <vt:lpstr>TemplateExternalFigure</vt:lpstr>
      <vt:lpstr>TemplateReportSettings</vt:lpstr>
      <vt:lpstr>'SIORSP-iter5'!TurbulenceModel.Name</vt:lpstr>
      <vt:lpstr>'SPORMF-iter2'!TurbulenceModel.Name</vt:lpstr>
      <vt:lpstr>'SIORSP-iter5'!TurbulenceModel.WallFunction</vt:lpstr>
      <vt:lpstr>'SPORMF-iter2'!TurbulenceModel.WallFunction</vt:lpstr>
      <vt:lpstr>Types</vt:lpstr>
      <vt:lpstr>'SIORSP-iter5'!UserLocations</vt:lpstr>
      <vt:lpstr>'SPORMF-iter2'!UserLocations</vt:lpstr>
      <vt:lpstr>'SIORSP-iter5'!Views.Names</vt:lpstr>
      <vt:lpstr>'SPORMF-iter2'!Views.Names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dcterms:created xsi:type="dcterms:W3CDTF">2020-05-11T07:44:45Z</dcterms:created>
  <dcterms:modified xsi:type="dcterms:W3CDTF">2020-05-13T20:53:08Z</dcterms:modified>
</cp:coreProperties>
</file>