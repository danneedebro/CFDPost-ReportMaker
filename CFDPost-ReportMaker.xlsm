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Temp\"/>
    </mc:Choice>
  </mc:AlternateContent>
  <xr:revisionPtr revIDLastSave="0" documentId="13_ncr:1_{A1CB9D2B-2655-4DBE-863A-0AEDD6B5188B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Case1" sheetId="6" r:id="rId1"/>
    <sheet name="Templates" sheetId="3" r:id="rId2"/>
  </sheets>
  <functionGroups builtInGroupCount="19"/>
  <definedNames>
    <definedName name="BC.Inlet" localSheetId="0">Case1!$C$26</definedName>
    <definedName name="BC.Outlet" localSheetId="0">Case1!$C$27</definedName>
    <definedName name="ExternalFigures.Convergence" localSheetId="0">Case1!$B$73:$D$75</definedName>
    <definedName name="ExternalFigures.Misc" localSheetId="0">Case1!$B$79:$D$81</definedName>
    <definedName name="Figure.Height" localSheetId="0">Case1!$C$12</definedName>
    <definedName name="Figure.Width" localSheetId="0">Case1!$C$13</definedName>
    <definedName name="Figures.Geometry" localSheetId="0">Case1!$B$49:$E$53</definedName>
    <definedName name="Figures.Mesh" localSheetId="0">Case1!$B$57:$E$60</definedName>
    <definedName name="Figures.Solution" localSheetId="0">Case1!$B$64:$E$69</definedName>
    <definedName name="Fluid.Density" localSheetId="0">Case1!$C$21</definedName>
    <definedName name="Fluid.Description" localSheetId="0">Case1!$C$20</definedName>
    <definedName name="Fluid.Other" localSheetId="0">Case1!$C$23</definedName>
    <definedName name="Fluid.Viscosity" localSheetId="0">Case1!$C$22</definedName>
    <definedName name="Misc.Notes" localSheetId="0">Case1!$C$30</definedName>
    <definedName name="Options.ShallowCopy" localSheetId="0">Case1!$I$2</definedName>
    <definedName name="Path.Base" localSheetId="0">Case1!$C$6</definedName>
    <definedName name="Report.Author" localSheetId="0">Case1!$C$11</definedName>
    <definedName name="Report.Path" localSheetId="0">Case1!$C$9</definedName>
    <definedName name="Report.Title" localSheetId="0">Case1!$C$10</definedName>
    <definedName name="ResultFile" localSheetId="0">Case1!$C$5</definedName>
    <definedName name="Solver.Time" localSheetId="0">Case1!$D$16</definedName>
    <definedName name="Solver.Type" localSheetId="0">Case1!$C$16</definedName>
    <definedName name="TableInput" localSheetId="0">Case1!$B$34:$E$43</definedName>
    <definedName name="Template.Comment">Templates!$C$16</definedName>
    <definedName name="Template.CommentSubheading">Templates!$C$17</definedName>
    <definedName name="Template.Contour">Templates!$C$22</definedName>
    <definedName name="Template.ExternalFigure">Templates!$C$15</definedName>
    <definedName name="Template.HelperSubs">Templates!$C$28</definedName>
    <definedName name="Template.LoadFile">Templates!$C$18</definedName>
    <definedName name="Template.Plane">Templates!$C$21</definedName>
    <definedName name="Template.ReportSettings">Templates!$C$19</definedName>
    <definedName name="Template.Streamline">Templates!$C$27</definedName>
    <definedName name="Template.Sub.HideShowObjects">Templates!$C$28</definedName>
    <definedName name="Template.SurfaceGroup">Templates!$C$20</definedName>
    <definedName name="Template.View">Templates!$C$26</definedName>
    <definedName name="Template.Wireframe">Templates!$C$24</definedName>
    <definedName name="TurbulenceModel.Name" localSheetId="0">Case1!$C$17</definedName>
    <definedName name="TurbulenceModel.WallFunction" localSheetId="0">Case1!$D$17</definedName>
    <definedName name="Types">Templates!$A$4:$A$11</definedName>
    <definedName name="UserLocationDefaults">Templates!$A$4:$C$11</definedName>
    <definedName name="UserLocations" localSheetId="0">Case1!$H$14:$K$27</definedName>
    <definedName name="Views.Names" localSheetId="0">Case1!$H$6:$H$9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3" i="6" l="1"/>
  <c r="A42" i="6"/>
  <c r="A41" i="6"/>
  <c r="A40" i="6"/>
  <c r="A39" i="6"/>
  <c r="A38" i="6"/>
  <c r="A37" i="6"/>
  <c r="A36" i="6"/>
  <c r="A35" i="6"/>
  <c r="C5" i="3" l="1"/>
  <c r="K22" i="6"/>
  <c r="K21" i="6"/>
  <c r="K23" i="6"/>
  <c r="E67" i="6"/>
  <c r="K20" i="6"/>
  <c r="K17" i="6"/>
  <c r="K19" i="6"/>
  <c r="K24" i="6"/>
  <c r="K2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(GR-TPS)</author>
  </authors>
  <commentList>
    <comment ref="H4" authorId="0" shapeId="0" xr:uid="{186A3B22-05A8-43B3-AC6B-16E9344EBCDC}">
      <text>
        <r>
          <rPr>
            <b/>
            <sz val="9"/>
            <color indexed="81"/>
            <rFont val="Tahoma"/>
            <family val="2"/>
          </rPr>
          <t xml:space="preserve">The views used for the plots. </t>
        </r>
      </text>
    </comment>
    <comment ref="J13" authorId="0" shapeId="0" xr:uid="{593BD13A-FB12-453E-A92E-4617882504B9}">
      <text>
        <r>
          <rPr>
            <b/>
            <sz val="9"/>
            <color indexed="81"/>
            <rFont val="Tahoma"/>
            <family val="2"/>
          </rPr>
          <t>Link name where template is located. If left out the template used is the one listed on sheet "Templates"</t>
        </r>
      </text>
    </comment>
    <comment ref="K13" authorId="0" shapeId="0" xr:uid="{314CF323-EAE6-44F4-A49E-3C20F12C5F01}">
      <text>
        <r>
          <rPr>
            <b/>
            <sz val="9"/>
            <color indexed="81"/>
            <rFont val="Tahoma"/>
            <family val="2"/>
          </rPr>
          <t>A semicolon separated string with format
WILDCARD1;Value1;WILDCARD2;Value2
Use button to auto create this string. Select cell and press button</t>
        </r>
      </text>
    </comment>
    <comment ref="B32" authorId="0" shapeId="0" xr:uid="{40B78E1C-5C98-4A0D-9EEB-9ABEE0B81F6C}">
      <text>
        <r>
          <rPr>
            <b/>
            <sz val="9"/>
            <color indexed="81"/>
            <rFont val="Tahoma"/>
            <family val="2"/>
          </rPr>
          <t>For formulas: write '=areaAve(Pressure)@Inlet
Examples
'=areaAve(Pressure)@Inlet - Calculates the average weighted pressure on "Inlet"
'=massFlow()@Outlet - Calulates the mass flow through the outlet
Variables (cdat files):
Pressure, Total Pressure, Absolute Pressure, Velocity, Velocity u, Velocity v, Velocity w, Yplus, Density, X, Y, Z, Turbulence Kinetic Energy, Turbulence Eddy Dissipation,</t>
        </r>
      </text>
    </comment>
  </commentList>
</comments>
</file>

<file path=xl/sharedStrings.xml><?xml version="1.0" encoding="utf-8"?>
<sst xmlns="http://schemas.openxmlformats.org/spreadsheetml/2006/main" count="232" uniqueCount="165">
  <si>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</si>
  <si>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</si>
  <si>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</si>
  <si>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</si>
  <si>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</si>
  <si>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</si>
  <si>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</si>
  <si>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</si>
  <si>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</si>
  <si>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</si>
  <si>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</si>
  <si>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</si>
  <si>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</si>
  <si>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</si>
  <si>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</si>
  <si>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</si>
  <si>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</si>
  <si>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</si>
  <si>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</si>
  <si>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</si>
  <si>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</si>
  <si>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</si>
  <si>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</si>
  <si>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</si>
  <si>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</si>
  <si>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</si>
  <si>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</si>
  <si>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</si>
  <si>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</si>
  <si>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</si>
  <si>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</si>
  <si>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</si>
  <si>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</si>
  <si>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</si>
  <si>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YZ</t>
  </si>
  <si>
    <t>Plane</t>
  </si>
  <si>
    <t>Wireframe,Surfaces All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</si>
  <si>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</si>
  <si>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</si>
  <si>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</si>
  <si>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</si>
  <si>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</si>
  <si>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</si>
  <si>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</si>
  <si>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</si>
  <si>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</si>
  <si>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</si>
  <si>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</si>
  <si>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</si>
  <si>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</si>
  <si>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</si>
  <si>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</si>
  <si>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</si>
  <si>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</si>
  <si>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</si>
  <si>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</si>
  <si>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</si>
  <si>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</si>
  <si>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</si>
  <si>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</si>
  <si>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</si>
  <si>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</si>
  <si>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</si>
  <si>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</si>
  <si>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</si>
  <si>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</si>
  <si>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</si>
  <si>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</si>
  <si>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</si>
  <si>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</si>
  <si>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</si>
  <si>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</si>
  <si>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#</t>
  </si>
  <si>
    <t>Caption</t>
  </si>
  <si>
    <t>Path</t>
  </si>
  <si>
    <t>Boundary conditions</t>
  </si>
  <si>
    <t>Inlet =</t>
  </si>
  <si>
    <t>Outlet =</t>
  </si>
  <si>
    <t>Pressure outlet 0 Pa</t>
  </si>
  <si>
    <t>HTML Subheading</t>
  </si>
  <si>
    <t>Upstream pressure P1 vs iterations</t>
  </si>
  <si>
    <t>Objects visible</t>
  </si>
  <si>
    <t>User locations and plot types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</si>
  <si>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</si>
  <si>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</si>
  <si>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</si>
  <si>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</si>
  <si>
    <r>
      <t xml:space="preserve">CONTOUR: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Clip Contour = Off
  Colour Map = Default Colour Map
  Colour Scale = Linear
  Colour Variable = </t>
    </r>
    <r>
      <rPr>
        <sz val="11"/>
        <color rgb="FFFF0000"/>
        <rFont val="Courier New"/>
        <family val="3"/>
      </rPr>
      <t>${VARIABLE}</t>
    </r>
    <r>
      <rPr>
        <sz val="11"/>
        <color theme="1"/>
        <rFont val="Courier New"/>
        <family val="3"/>
      </rPr>
      <t xml:space="preserve">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</si>
  <si>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Load new file</t>
  </si>
  <si>
    <r>
      <t>DATA READER:
  Clear All Objects = false
  Append Results = false
  Edit Case Names = false
  Multi Configuration File Load Option = Last Case
  Open in New View = true
  Keep Camera Position = true
  Load Particle Tracks = true
  Multi Configuration File Load Option = Last Case
  Construct Variables From Fourier Coefficients = true
  Open to Compare = false
  Files to Compare =
END
&gt;load filename=</t>
    </r>
    <r>
      <rPr>
        <sz val="11"/>
        <color rgb="FFFF0000"/>
        <rFont val="Courier New"/>
        <family val="3"/>
      </rPr>
      <t>${FILENAME}</t>
    </r>
    <r>
      <rPr>
        <sz val="11"/>
        <color theme="1"/>
        <rFont val="Courier New"/>
        <family val="3"/>
      </rPr>
      <t xml:space="preserve">, force_reload=true
</t>
    </r>
  </si>
  <si>
    <t>REPORT:
  Report Items = /TITLE PAGE,/REPORT/FILE INFORMATION OPTIONS,/REPORT/MESH \
STATISTICS OPTIONS,/REPORT/PHYSICS SUMMARY OPTIONS,/REPORT/SOLUTION SUMMARY \
OPTIONS,/REPORT/OPERATING MAPS,/COMMENT:Header Description,/COMMENT:User Data,/\
TABLE:Table 1,/COMMENT:Header geometry,/VIEW:Geometry 1,/VIEW:Geometry 2,/\
VIEW:Geometry 3,/VIEW:Geometry 4,/VIEW:User Locations,/COMMENT:Header mesh,/\
VIEW:Mesh 1,/VIEW:Mesh 2,/VIEW:Mesh 3,/VIEW:Mesh 4,/VIEW:Mesh 5,/COMMENT:Header \
solution,/VIEW:Solution 1,/VIEW:Solution 2,/VIEW:Solution 3,/VIEW:Solution 4,/\
VIEW:Solution 5,/VIEW:Solution 6,/COMMENT:Header Misc,/COMMENT:Header \
convergence
END</t>
  </si>
  <si>
    <t>Mesh</t>
  </si>
  <si>
    <t>Geometry</t>
  </si>
  <si>
    <t>Solution</t>
  </si>
  <si>
    <t>Wireframe,Contour P Plane XY</t>
  </si>
  <si>
    <t>Wireframe,Contour U Plane XY</t>
  </si>
  <si>
    <t>Wireframe,Contour P All</t>
  </si>
  <si>
    <t>Files</t>
  </si>
  <si>
    <t>Result file =</t>
  </si>
  <si>
    <t>Inlets</t>
  </si>
  <si>
    <t>Outlets</t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</si>
  <si>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Angular Coord Shift = 0.0
  Auto Center = false
  Axis Visibility = On
  Border Visibility = false
  Camera Mode = User Specified
  Clip Scene = false
  Coord Transform = Cartesian
  Hide Difference Case = false
  Highlight Type = Surface Mesh
  Is A Figure = true
  Light Angle = 50, 110
  Object Visibility List = </t>
    </r>
    <r>
      <rPr>
        <sz val="11"/>
        <color rgb="FFFF0000"/>
        <rFont val="Courier New"/>
        <family val="3"/>
      </rPr>
      <t>${OBJECT_VISIBILITY_LIST}</t>
    </r>
    <r>
      <rPr>
        <sz val="11"/>
        <color theme="1"/>
        <rFont val="Courier New"/>
        <family val="3"/>
      </rPr>
      <t xml:space="preserve">
  Projection = Orthographic
  Ruler Visibility = On
  Standard View = Isometric Y
  CAMERA: 
    Option = Pivot Point and Quaternion
    Pan = 0,0
    Pivot Point = 0.1,-1.03191e-06,1.19209e-06
    Rotation = -90, 0, 0
    Rotation Quaternion = 0.279848,-0.364705,-0.115917,0.880476
    Scale = 2.14711
    Send To Viewer = True
  END
END
</t>
    </r>
  </si>
  <si>
    <r>
      <t># Comment CCL:
COMMENT: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</si>
  <si>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>PLANE: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Bound Radius = 0.5 [m]
  Colour = 0.75, 0.75, 0.75
  Colour Map = Default Colour Map
  Colour Mode = Constant
  Colour Scale = Linear
  Colour Variable = Pressure
  Colour Variable Boundary Values = Conservative
  Culling Mode = No Culling
  Direction 1 Bound = 1.0 [m]
  Direction 1 Orientation = 0 [degree]
  Direction 1 Points = 10
  Direction 2 Bound = 1.0 [m]
  Direction 2 Points = 10
  Domain List = /DOMAIN GROUP:All Domains
  Draw Faces = On
  Draw Lines = Off
  Instancing Transform = /DEFAULT INSTANCE TRANSFORM:Default Transform
  Invert Plane Bound = Off
  Lighting = On
  Line Colour = 0, 0, 0
  Line Colour Mode = Default
  Line Width = 1
  Max = 0.0 [Pa]
  Min = 0.0 [Pa]
  Normal = </t>
    </r>
    <r>
      <rPr>
        <sz val="11"/>
        <color rgb="FFFF0000"/>
        <rFont val="Courier New"/>
        <family val="3"/>
      </rPr>
      <t>${NORMAL}</t>
    </r>
    <r>
      <rPr>
        <sz val="11"/>
        <color theme="1"/>
        <rFont val="Courier New"/>
        <family val="3"/>
      </rPr>
      <t xml:space="preserve">
  Option = Point and Normal
  Plane Bound = None
  Plane Type = Slice
  Point = </t>
    </r>
    <r>
      <rPr>
        <sz val="11"/>
        <color rgb="FFFF0000"/>
        <rFont val="Courier New"/>
        <family val="3"/>
      </rPr>
      <t>${POINT}</t>
    </r>
    <r>
      <rPr>
        <sz val="11"/>
        <color theme="1"/>
        <rFont val="Courier New"/>
        <family val="3"/>
      </rPr>
      <t xml:space="preserve">
  Point 1 = 0 [m], 0 [m], 0 [m]
  Point 2 = 1 [m], 0 [m], 0 [m]
  Point 3 = 0 [m], 1 [m], 0 [m]
  Range = Global
  Render Edge Angle = 0 [degree]
  Specular Lighting = On
  Surface Drawing = Smooth Shading
  Texture Angle = 0
  Texture Direction = 0 , 1 , 0
  Texture File =
  Texture Material = Metal
  Texture Position = 0 , 0
  Texture Scale = 1
  Texture Type = Predefined
  Tile Texture = Off
  Transform Texture = Off
  Transparency = 0.0
  X = 0.0 [m]
  Y = 0.0 [m]
  Z = 0.0 [m]
  OBJECT VIEW TRANSFORM: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</si>
  <si>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WIREFRAME: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Colour = 0, 0, 0
  Domain List = All Domains
  Edge Angle = 30 [degree]
  Instancing Transform = Default Transform
  Line Colour Mode = Default
  Line Width = 1
  Show Surface Mesh = Off
  Visibility = Off
END
</t>
    </r>
  </si>
  <si>
    <t>Streamline</t>
  </si>
  <si>
    <t>Arguments</t>
  </si>
  <si>
    <t>Streamline 1</t>
  </si>
  <si>
    <t xml:space="preserve">TABLE:Table 1
  TABLE CELLS:
    B2 = "=areaAve(Velocity)@Inlets", False, False, False, Left, True, 0, \
Font Name, 1|1, %10.3e, True, ffffff, 000000, True
  END
END
</t>
  </si>
  <si>
    <t>Result Table</t>
  </si>
  <si>
    <t>Inlet</t>
  </si>
  <si>
    <t>=areaAve(Velocity)@Inlets</t>
  </si>
  <si>
    <t>U =</t>
  </si>
  <si>
    <t>CFDPost-ReportMaker</t>
  </si>
  <si>
    <t>P =</t>
  </si>
  <si>
    <t>=areaAve(Pressure)@Inlets</t>
  </si>
  <si>
    <t>https://github.com/danneedebro/CFDPost-ReportMaker</t>
  </si>
  <si>
    <t>Template.Wireframe</t>
  </si>
  <si>
    <t>Template</t>
  </si>
  <si>
    <t>N91</t>
  </si>
  <si>
    <t>Default arguments</t>
  </si>
  <si>
    <t>Template.Plane</t>
  </si>
  <si>
    <t>Template.Contour</t>
  </si>
  <si>
    <t>Template.Streamline</t>
  </si>
  <si>
    <t>Template.SurfaceGroup</t>
  </si>
  <si>
    <r>
      <t xml:space="preserve">SURFACE GROUP: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Colour = 0.75, 0.75, 0.75
  Colour Map = Default Colour Map
  Colour Mode = Constant
  Colour Scale = Linear
  Colour Variable = Pressure
  Colour Variable Boundary Values = Conservative
  Culling Mode = No Culling
  Domain List = /DOMAIN GROUP:All Domains
  Draw Faces = On
  Draw Lines = </t>
    </r>
    <r>
      <rPr>
        <sz val="11"/>
        <color rgb="FFFF0000"/>
        <rFont val="Courier New"/>
        <family val="3"/>
      </rPr>
      <t>${SHOW_MESH}</t>
    </r>
    <r>
      <rPr>
        <sz val="11"/>
        <color theme="1"/>
        <rFont val="Courier New"/>
        <family val="3"/>
      </rPr>
      <t xml:space="preserve">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Range = Global
  Render Edge Angle = 0 [degree]
  Specular Lighting = Off
  Surface Drawing = Smooth Shading
  Texture Angle = 0
  Texture Direction = 0 , 1 , 0
  Texture File = 
  Texture Material = Metal
  Texture Position = 0 , 0
  Texture Scale = 1
  Texture Type = Predefined
  Tile Texture = Off
  Transform Texture = Off
  Transparency = </t>
    </r>
    <r>
      <rPr>
        <sz val="11"/>
        <color rgb="FFFF0000"/>
        <rFont val="Courier New"/>
        <family val="3"/>
      </rPr>
      <t>${TRANSPARENCY}</t>
    </r>
    <r>
      <rPr>
        <sz val="11"/>
        <color theme="1"/>
        <rFont val="Courier New"/>
        <family val="3"/>
      </rPr>
      <t xml:space="preserve">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</si>
  <si>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CONTOUR: ${NAME}
  Apply Instancing Transform = On
  Gugga = 4
  Clip Contour = Off
  Colour Map = Default Colour Map
  Colour Scale = Linear
  Colour Variable = ${VARIABLE}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${LOCATION_LIST}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</t>
  </si>
  <si>
    <t>${NORMAL};0 , 0 , 1;${POINT};0 [m] , 0 [m], 0 [m]</t>
  </si>
  <si>
    <t>${VARIABLE};Pressure;${LOCATION_LIST};inlet</t>
  </si>
  <si>
    <r>
      <t xml:space="preserve">STREAMLINE: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Absolute Tolerance = 0.0 [m]
  Apply Instancing Transform = On
  Colour = 0.75, 0.75, 0.75
  Colour Map = Default Colour Map
  Colour Mode = Use Plot Variable
  Colour Scale = Linear
  Colour Variable = Velocity
  Colour Variable Boundary Values = Conservative
  Cross Periodics = On
  Culling Mode = No Culling
  Domain List = /DOMAIN GROUP:All Domains
  Draw Faces = On
  Draw Lines = Off
  Draw Streams = On
  Draw Symbols = Off
  Grid Tolerance = 0.01
  Instancing Transform = /DEFAULT INSTANCE TRANSFORM:Default Transform
  Lighting = On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Locator Sampling Method = Equally Spaced
  Max = 0.0 [m s^-1]
  Maximum Number of Items = 25
  Min = 0.0 [m s^-1]
  Number of Samples = 25
  Number of Sides = 8
  Range = Global
  Reduction Factor = 1.0
  Reduction or Max Number = Max Number
  Sample Spacing = 0.1
  Sampling Aspect Ratio = 1
  Sampling Grid Angle = 0 [degree]
  Seed Point Type = Equally Spaced Samples
  Simplify Geometry = Off
  Specular Lighting = On
  Stream Drawing Mode = Line
  Stream Initial Direction = 0 , 0 , 0
  Stream Size = 1.0
  Stream Symbol = Ball
  Streamline Direction = Forward
  Streamline Maximum Periods = 20
  Streamline Maximum Segments = 10000
  Streamline Maximum Time = 0.0 [s]
  Streamline Type = 3D Streamline
  Streamline Width = 2
  Surface Drawing = Smooth Shading
  Surface Streamline Direction = Forward and Backward
  Symbol Size = 1.0
  Symbol Start Time = 10.0 [s]
  Symbol Stop Time = -10.0 [s]
  Symbol Time Interval = 1.0 [s]
  Tolerance Mode = Grid Relative
  Transparency = 0.0
  Variable = Velocity
  Variable Boundary Values = Conservative
  Visibility = On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</si>
  <si>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${LOCATION_LIST};/SURFACE GROUP:Inlets</t>
  </si>
  <si>
    <t>${TRANSPARENCY};0.0 ;${SHOW_MESH};On</t>
  </si>
  <si>
    <t>Plane ZX</t>
  </si>
  <si>
    <t>Wireframe,Plane XY, Plane ZX,Plane YZ</t>
  </si>
  <si>
    <t>Orifice d=31 mm (D=102.26 mm)</t>
  </si>
  <si>
    <t>998.2</t>
  </si>
  <si>
    <t>9.98e-4</t>
  </si>
  <si>
    <t>Velocity inlet 2.13461 m/s (17.50 kg/s). Turbulent intensity = 5%, Turbulent Viscosity ratio = 10</t>
  </si>
  <si>
    <t>Residuals</t>
  </si>
  <si>
    <t>A</t>
  </si>
  <si>
    <t>B</t>
  </si>
  <si>
    <t>Outlet</t>
  </si>
  <si>
    <t>=areaAve(Pressure)@Outlets</t>
  </si>
  <si>
    <t>=areaAve(Velocity)@Outlets</t>
  </si>
  <si>
    <t>Fluxes</t>
  </si>
  <si>
    <t>m_in =</t>
  </si>
  <si>
    <t>=massFlow()@Inlets</t>
  </si>
  <si>
    <t>m_out =</t>
  </si>
  <si>
    <t>=massFlow()@Outlets</t>
  </si>
  <si>
    <t>diff =</t>
  </si>
  <si>
    <t>=massFlow()@Inlets+massFlow()@Outlets</t>
  </si>
  <si>
    <t>C</t>
  </si>
  <si>
    <t>D</t>
  </si>
  <si>
    <t>Notes</t>
  </si>
  <si>
    <t>Notes =</t>
  </si>
  <si>
    <t>Hard to converge.
Had to step up inlet velocity in steps (0.2 m/s, 0.8 m/s, 1.6 m/s, 2.13461 m/s)</t>
  </si>
  <si>
    <t>Base path =</t>
  </si>
  <si>
    <t>/project/dero/Documents/FoamMesh-orifice/Calc1/</t>
  </si>
  <si>
    <t>Calc1_cfdpost.cdat</t>
  </si>
  <si>
    <t>Calc1.htm</t>
  </si>
  <si>
    <t>Calc1-p1.png</t>
  </si>
  <si>
    <t>Calc1-res.png</t>
  </si>
  <si>
    <t>Shallow copy? =</t>
  </si>
  <si>
    <r>
      <t>! @plot_objects = (</t>
    </r>
    <r>
      <rPr>
        <sz val="11"/>
        <color rgb="FFFF0000"/>
        <rFont val="Courier New"/>
        <family val="3"/>
      </rPr>
      <t>${USER_LOCATIONS}</t>
    </r>
    <r>
      <rPr>
        <sz val="11"/>
        <color theme="1"/>
        <rFont val="Courier New"/>
        <family val="3"/>
      </rPr>
      <t>);
! @geometry_figures = (</t>
    </r>
    <r>
      <rPr>
        <sz val="11"/>
        <color rgb="FFFF0000"/>
        <rFont val="Courier New"/>
        <family val="3"/>
      </rPr>
      <t>${GEOMETRY_FIGURES}</t>
    </r>
    <r>
      <rPr>
        <sz val="11"/>
        <color theme="1"/>
        <rFont val="Courier New"/>
        <family val="3"/>
      </rPr>
      <t>);
! @mesh_figures = (</t>
    </r>
    <r>
      <rPr>
        <sz val="11"/>
        <color rgb="FFFF0000"/>
        <rFont val="Courier New"/>
        <family val="3"/>
      </rPr>
      <t>${MESH_FIGURES}</t>
    </r>
    <r>
      <rPr>
        <sz val="11"/>
        <color theme="1"/>
        <rFont val="Courier New"/>
        <family val="3"/>
      </rPr>
      <t>);
! @solution_figures = (</t>
    </r>
    <r>
      <rPr>
        <sz val="11"/>
        <color rgb="FFFF0000"/>
        <rFont val="Courier New"/>
        <family val="3"/>
      </rPr>
      <t>${SOLUTION_FIGURES}</t>
    </r>
    <r>
      <rPr>
        <sz val="11"/>
        <color theme="1"/>
        <rFont val="Courier New"/>
        <family val="3"/>
      </rPr>
      <t xml:space="preserve">);
!sub HideShowObjects {
#Action: Hides or shows objects
#
# Ex) Show all known objects (user locations and plots) in Figure 1
# HideShowObjects("Figure 1","show","/SURFACE GROUP: Inlets","/SURFACE GROUP: Outlets") 
#
# Ex) Hide surface group "Inlets" in Figure 1
# HideShowObjects("Figure 1","hide","/SURFACE GROUP: Inlets") 
!   my $n = scalar(@_);  # number of arguments
!
!   if ($n&lt;3) {
!      foreach my $plot_object (@plot_objects) {
           &gt;$_[1] $plot_object, view=/VIEW:$_[0]
!      }
!   }else {
!      # Loop through arguments 3 to n
!      for (my $i=2; $i&lt;$n; $i++) {
!  print "&gt;$_[1] $_[$i], view=/VIEW:$_[0]\n";
           &gt;$_[1] $_[$i], view=/VIEW:$_[0]
!      }
!   }
!}
!sub CreateFigures {
!# Action: Creates figures and headings from scratch
!   sub CreateFiguresSub {
!      my @figures = @{$_[0]};
!      print "$_[1]\n";
!      foreach $figure (@figures) {
          &gt;delete /VIEW:$figure
          &gt; setViewportView cmd=copy, view=/VIEW:$figure, viewport=1
!      }
!   }
!   CreateFiguresSub(\@geometry_figures, "Geometry");
!   CreateFiguresSub(\@mesh_figures, "Mesh");
!   CreateFiguresSub(\@solution_figures, "Solution");
!
!}
</t>
    </r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</si>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</sst>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ourier New"/>
      <family val="3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99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3" applyNumberFormat="0" applyAlignment="0" applyProtection="0"/>
  </cellStyleXfs>
  <cellXfs count="46">
    <xf numFmtId="0" fontId="0" fillId="0" borderId="0" xfId="0"/>
    <xf numFmtId="0" fontId="1" fillId="0" borderId="1" xfId="1"/>
    <xf numFmtId="0" fontId="1" fillId="0" borderId="0" xfId="1" applyBorder="1"/>
    <xf numFmtId="0" fontId="2" fillId="0" borderId="0" xfId="2"/>
    <xf numFmtId="0" fontId="4" fillId="0" borderId="0" xfId="0" applyFont="1" applyAlignment="1">
      <alignment horizontal="right"/>
    </xf>
    <xf numFmtId="0" fontId="1" fillId="0" borderId="1" xfId="1" applyAlignment="1">
      <alignment horizontal="left"/>
    </xf>
    <xf numFmtId="0" fontId="5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1" fillId="0" borderId="0" xfId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4" xfId="0" applyFont="1" applyFill="1" applyBorder="1"/>
    <xf numFmtId="0" fontId="6" fillId="2" borderId="10" xfId="0" applyFont="1" applyFill="1" applyBorder="1"/>
    <xf numFmtId="0" fontId="0" fillId="0" borderId="0" xfId="0" applyBorder="1"/>
    <xf numFmtId="0" fontId="0" fillId="0" borderId="11" xfId="0" applyBorder="1"/>
    <xf numFmtId="0" fontId="5" fillId="0" borderId="2" xfId="3"/>
    <xf numFmtId="0" fontId="6" fillId="2" borderId="12" xfId="0" applyFont="1" applyFill="1" applyBorder="1"/>
    <xf numFmtId="0" fontId="5" fillId="0" borderId="0" xfId="3" applyBorder="1" applyAlignment="1">
      <alignment horizontal="left"/>
    </xf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5" fillId="0" borderId="2" xfId="3" applyFill="1"/>
    <xf numFmtId="49" fontId="10" fillId="3" borderId="3" xfId="5" applyNumberFormat="1"/>
    <xf numFmtId="0" fontId="10" fillId="3" borderId="3" xfId="5"/>
    <xf numFmtId="11" fontId="10" fillId="3" borderId="3" xfId="5" applyNumberFormat="1"/>
    <xf numFmtId="0" fontId="9" fillId="0" borderId="0" xfId="4"/>
    <xf numFmtId="11" fontId="10" fillId="3" borderId="3" xfId="5" applyNumberFormat="1" applyAlignment="1">
      <alignment wrapText="1"/>
    </xf>
    <xf numFmtId="0" fontId="4" fillId="0" borderId="0" xfId="0" applyFont="1" applyAlignment="1">
      <alignment horizontal="right" vertical="top"/>
    </xf>
    <xf numFmtId="164" fontId="0" fillId="0" borderId="0" xfId="0" applyNumberFormat="1"/>
    <xf numFmtId="0" fontId="0" fillId="0" borderId="0" xfId="0" applyAlignment="1">
      <alignment wrapText="1"/>
    </xf>
    <xf numFmtId="0" fontId="8" fillId="0" borderId="7" xfId="0" applyFont="1" applyBorder="1"/>
    <xf numFmtId="0" fontId="8" fillId="0" borderId="9" xfId="0" applyFont="1" applyBorder="1"/>
    <xf numFmtId="49" fontId="0" fillId="0" borderId="0" xfId="0" applyNumberFormat="1" applyBorder="1"/>
    <xf numFmtId="11" fontId="10" fillId="3" borderId="16" xfId="5" applyNumberFormat="1" applyBorder="1"/>
    <xf numFmtId="49" fontId="0" fillId="0" borderId="0" xfId="0" quotePrefix="1" applyNumberFormat="1" applyBorder="1"/>
    <xf numFmtId="0" fontId="6" fillId="2" borderId="0" xfId="0" applyFont="1" applyFill="1" applyBorder="1"/>
    <xf numFmtId="0" fontId="6" fillId="2" borderId="0" xfId="0" applyFont="1" applyFill="1" applyBorder="1" applyAlignment="1">
      <alignment horizontal="center"/>
    </xf>
    <xf numFmtId="11" fontId="10" fillId="3" borderId="3" xfId="5" applyNumberFormat="1" applyAlignment="1">
      <alignment vertical="top" wrapText="1"/>
    </xf>
    <xf numFmtId="0" fontId="0" fillId="0" borderId="0" xfId="0" applyAlignment="1">
      <alignment horizontal="right"/>
    </xf>
  </cellXfs>
  <cellStyles count="6">
    <cellStyle name="Hyperlänk" xfId="2" builtinId="8"/>
    <cellStyle name="Indata" xfId="5" builtinId="20"/>
    <cellStyle name="Normal" xfId="0" builtinId="0"/>
    <cellStyle name="Rubrik" xfId="4" builtinId="15"/>
    <cellStyle name="Rubrik 1" xfId="1" builtinId="16"/>
    <cellStyle name="Rubrik 2" xfId="3" builtinId="17"/>
  </cellStyles>
  <dxfs count="9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0</xdr:row>
          <xdr:rowOff>47625</xdr:rowOff>
        </xdr:from>
        <xdr:to>
          <xdr:col>5</xdr:col>
          <xdr:colOff>752475</xdr:colOff>
          <xdr:row>3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CFD-Post command line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0</xdr:rowOff>
        </xdr:from>
        <xdr:to>
          <xdr:col>10</xdr:col>
          <xdr:colOff>2209800</xdr:colOff>
          <xdr:row>11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 assign args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needebro/CFDPost-ReportMak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52F7-B2A1-40F9-8293-CD6E03A224B6}">
  <sheetPr codeName="Blad4"/>
  <dimension ref="A1:P96"/>
  <sheetViews>
    <sheetView tabSelected="1" workbookViewId="0">
      <selection activeCell="E8" sqref="E8"/>
    </sheetView>
  </sheetViews>
  <sheetFormatPr defaultRowHeight="15" x14ac:dyDescent="0.25"/>
  <cols>
    <col min="1" max="1" width="6.42578125" customWidth="1"/>
    <col min="2" max="2" width="21.140625" customWidth="1"/>
    <col min="3" max="3" width="17.5703125" customWidth="1"/>
    <col min="4" max="4" width="15.42578125" customWidth="1"/>
    <col min="5" max="5" width="26.28515625" customWidth="1"/>
    <col min="6" max="6" width="15.28515625" customWidth="1"/>
    <col min="7" max="7" width="9.5703125" bestFit="1" customWidth="1"/>
    <col min="8" max="8" width="23.42578125" customWidth="1"/>
    <col min="9" max="9" width="19" customWidth="1"/>
    <col min="10" max="10" width="18.85546875" customWidth="1"/>
    <col min="11" max="11" width="35.7109375" bestFit="1" customWidth="1"/>
    <col min="14" max="14" width="35.140625" customWidth="1"/>
  </cols>
  <sheetData>
    <row r="1" spans="1:11" ht="23.25" x14ac:dyDescent="0.35">
      <c r="A1" s="32" t="s">
        <v>113</v>
      </c>
    </row>
    <row r="2" spans="1:11" x14ac:dyDescent="0.25">
      <c r="A2" s="3" t="s">
        <v>116</v>
      </c>
      <c r="H2" s="45" t="s">
        <v>162</v>
      </c>
      <c r="I2" s="30" t="s">
        <v>164</v>
      </c>
    </row>
    <row r="4" spans="1:11" ht="20.25" thickBot="1" x14ac:dyDescent="0.35">
      <c r="B4" s="1" t="s">
        <v>97</v>
      </c>
      <c r="H4" s="2" t="s">
        <v>0</v>
      </c>
    </row>
    <row r="5" spans="1:11" ht="15.75" thickTop="1" x14ac:dyDescent="0.25">
      <c r="B5" s="4" t="s">
        <v>98</v>
      </c>
      <c r="C5" s="30" t="s">
        <v>158</v>
      </c>
      <c r="H5" s="18" t="s">
        <v>1</v>
      </c>
      <c r="I5" s="13" t="s">
        <v>41</v>
      </c>
    </row>
    <row r="6" spans="1:11" x14ac:dyDescent="0.25">
      <c r="B6" s="4" t="s">
        <v>156</v>
      </c>
      <c r="C6" s="30" t="s">
        <v>157</v>
      </c>
      <c r="H6" s="14" t="s">
        <v>2</v>
      </c>
      <c r="I6" s="15" t="s">
        <v>42</v>
      </c>
    </row>
    <row r="7" spans="1:11" x14ac:dyDescent="0.25">
      <c r="H7" s="14" t="s">
        <v>3</v>
      </c>
      <c r="I7" s="15" t="s">
        <v>43</v>
      </c>
    </row>
    <row r="8" spans="1:11" ht="20.25" thickBot="1" x14ac:dyDescent="0.35">
      <c r="B8" s="1" t="s">
        <v>50</v>
      </c>
      <c r="H8" s="14" t="s">
        <v>4</v>
      </c>
      <c r="I8" s="15" t="s">
        <v>44</v>
      </c>
    </row>
    <row r="9" spans="1:11" ht="15.75" thickTop="1" x14ac:dyDescent="0.25">
      <c r="B9" s="4" t="s">
        <v>47</v>
      </c>
      <c r="C9" s="30" t="s">
        <v>159</v>
      </c>
      <c r="H9" s="16" t="s">
        <v>5</v>
      </c>
      <c r="I9" s="17" t="s">
        <v>45</v>
      </c>
    </row>
    <row r="10" spans="1:11" x14ac:dyDescent="0.25">
      <c r="B10" s="4" t="s">
        <v>22</v>
      </c>
      <c r="C10" s="30" t="s">
        <v>134</v>
      </c>
    </row>
    <row r="11" spans="1:11" x14ac:dyDescent="0.25">
      <c r="B11" s="4" t="s">
        <v>48</v>
      </c>
      <c r="C11" s="30" t="s">
        <v>49</v>
      </c>
    </row>
    <row r="12" spans="1:11" ht="19.5" x14ac:dyDescent="0.3">
      <c r="B12" s="4" t="s">
        <v>23</v>
      </c>
      <c r="C12" s="30">
        <v>768</v>
      </c>
      <c r="D12" t="s">
        <v>25</v>
      </c>
      <c r="H12" s="11" t="s">
        <v>26</v>
      </c>
    </row>
    <row r="13" spans="1:11" x14ac:dyDescent="0.25">
      <c r="B13" s="4" t="s">
        <v>24</v>
      </c>
      <c r="C13" s="30">
        <v>1024</v>
      </c>
      <c r="D13" t="s">
        <v>25</v>
      </c>
      <c r="H13" s="12" t="s">
        <v>1</v>
      </c>
      <c r="I13" s="13" t="s">
        <v>27</v>
      </c>
      <c r="J13" s="13" t="s">
        <v>118</v>
      </c>
      <c r="K13" s="13" t="s">
        <v>106</v>
      </c>
    </row>
    <row r="14" spans="1:11" x14ac:dyDescent="0.25">
      <c r="B14" s="4"/>
      <c r="H14" s="14" t="s">
        <v>28</v>
      </c>
      <c r="I14" s="20" t="s">
        <v>28</v>
      </c>
      <c r="J14" s="20"/>
      <c r="K14" s="37"/>
    </row>
    <row r="15" spans="1:11" ht="20.25" thickBot="1" x14ac:dyDescent="0.35">
      <c r="B15" s="5" t="s">
        <v>51</v>
      </c>
      <c r="H15" s="14" t="s">
        <v>31</v>
      </c>
      <c r="I15" s="20" t="s">
        <v>29</v>
      </c>
      <c r="J15" s="20"/>
      <c r="K15" s="37"/>
    </row>
    <row r="16" spans="1:11" ht="15.75" thickTop="1" x14ac:dyDescent="0.25">
      <c r="B16" s="4" t="s">
        <v>54</v>
      </c>
      <c r="C16" s="30" t="s">
        <v>55</v>
      </c>
      <c r="D16" s="30" t="s">
        <v>56</v>
      </c>
      <c r="H16" s="14" t="s">
        <v>32</v>
      </c>
      <c r="I16" s="20" t="s">
        <v>29</v>
      </c>
      <c r="J16" s="20"/>
      <c r="K16" s="37" t="s">
        <v>131</v>
      </c>
    </row>
    <row r="17" spans="2:11" x14ac:dyDescent="0.25">
      <c r="B17" s="4" t="s">
        <v>52</v>
      </c>
      <c r="C17" s="30" t="s">
        <v>53</v>
      </c>
      <c r="D17" s="30" t="s">
        <v>68</v>
      </c>
      <c r="H17" s="14" t="s">
        <v>99</v>
      </c>
      <c r="I17" s="20" t="s">
        <v>29</v>
      </c>
      <c r="J17" s="20"/>
      <c r="K17" s="37" t="str">
        <f>ArgList()</f>
        <v/>
      </c>
    </row>
    <row r="18" spans="2:11" x14ac:dyDescent="0.25">
      <c r="B18" s="4"/>
      <c r="H18" s="14" t="s">
        <v>100</v>
      </c>
      <c r="I18" s="20" t="s">
        <v>29</v>
      </c>
      <c r="J18" s="20"/>
      <c r="K18" s="37"/>
    </row>
    <row r="19" spans="2:11" ht="18" thickBot="1" x14ac:dyDescent="0.35">
      <c r="B19" s="6" t="s">
        <v>57</v>
      </c>
      <c r="H19" s="14" t="s">
        <v>33</v>
      </c>
      <c r="I19" s="20" t="s">
        <v>35</v>
      </c>
      <c r="J19" s="20"/>
      <c r="K19" s="37" t="str">
        <f>ArgList("${NORMAL}","0,0,1","${POINT}","0 [m], 0 [m], 0 [m]")</f>
        <v>${NORMAL};0,0,1;${POINT};0 [m], 0 [m], 0 [m]</v>
      </c>
    </row>
    <row r="20" spans="2:11" ht="15.75" thickTop="1" x14ac:dyDescent="0.25">
      <c r="B20" s="4" t="s">
        <v>60</v>
      </c>
      <c r="C20" s="30" t="s">
        <v>61</v>
      </c>
      <c r="H20" s="14" t="s">
        <v>132</v>
      </c>
      <c r="I20" s="20" t="s">
        <v>35</v>
      </c>
      <c r="J20" s="20"/>
      <c r="K20" s="37" t="str">
        <f>ArgList("${NORMAL}","0,1,0","${POINT}","0 [m], 0 [m], 0 [m]")</f>
        <v>${NORMAL};0,1,0;${POINT};0 [m], 0 [m], 0 [m]</v>
      </c>
    </row>
    <row r="21" spans="2:11" ht="17.25" x14ac:dyDescent="0.25">
      <c r="B21" s="4" t="s">
        <v>58</v>
      </c>
      <c r="C21" s="29" t="s">
        <v>135</v>
      </c>
      <c r="D21" t="s">
        <v>59</v>
      </c>
      <c r="H21" s="14" t="s">
        <v>34</v>
      </c>
      <c r="I21" s="20" t="s">
        <v>35</v>
      </c>
      <c r="J21" s="20"/>
      <c r="K21" s="37" t="str">
        <f>ArgList("${NORMAL}","1,0,0","${POINT}","0 [m], 0 [m], 0 [m]")</f>
        <v>${NORMAL};1,0,0;${POINT};0 [m], 0 [m], 0 [m]</v>
      </c>
    </row>
    <row r="22" spans="2:11" ht="17.25" x14ac:dyDescent="0.25">
      <c r="B22" s="4" t="s">
        <v>66</v>
      </c>
      <c r="C22" s="29" t="s">
        <v>136</v>
      </c>
      <c r="D22" t="s">
        <v>65</v>
      </c>
      <c r="H22" s="14" t="s">
        <v>38</v>
      </c>
      <c r="I22" s="20" t="s">
        <v>46</v>
      </c>
      <c r="J22" s="20" t="s">
        <v>119</v>
      </c>
      <c r="K22" s="37" t="str">
        <f>ArgList("${VARIABLE}","Pressure","${LOCATION_LIST}","Plane XY")</f>
        <v>${VARIABLE};Pressure;${LOCATION_LIST};Plane XY</v>
      </c>
    </row>
    <row r="23" spans="2:11" x14ac:dyDescent="0.25">
      <c r="B23" s="4" t="s">
        <v>67</v>
      </c>
      <c r="C23" s="31"/>
      <c r="H23" s="14" t="s">
        <v>39</v>
      </c>
      <c r="I23" s="20" t="s">
        <v>46</v>
      </c>
      <c r="J23" s="20"/>
      <c r="K23" s="37" t="str">
        <f>ArgList("${VARIABLE}","Velocity","${LOCATION_LIST}","Plane XY")</f>
        <v>${VARIABLE};Velocity;${LOCATION_LIST};Plane XY</v>
      </c>
    </row>
    <row r="24" spans="2:11" x14ac:dyDescent="0.25">
      <c r="B24" s="4"/>
      <c r="C24" s="7"/>
      <c r="H24" s="14" t="s">
        <v>40</v>
      </c>
      <c r="I24" s="20" t="s">
        <v>46</v>
      </c>
      <c r="J24" s="20"/>
      <c r="K24" s="37" t="str">
        <f>ArgList("${VARIABLE}","Pressure","${LOCATION_LIST}","Surfaces All")</f>
        <v>${VARIABLE};Pressure;${LOCATION_LIST};Surfaces All</v>
      </c>
    </row>
    <row r="25" spans="2:11" ht="18" thickBot="1" x14ac:dyDescent="0.35">
      <c r="B25" s="6" t="s">
        <v>75</v>
      </c>
      <c r="C25" s="7"/>
      <c r="H25" s="14" t="s">
        <v>107</v>
      </c>
      <c r="I25" s="20" t="s">
        <v>105</v>
      </c>
      <c r="J25" s="20"/>
      <c r="K25" s="37" t="str">
        <f>ArgList("${LOCATION_LIST}","Inlets")</f>
        <v>${LOCATION_LIST};Inlets</v>
      </c>
    </row>
    <row r="26" spans="2:11" ht="15.75" customHeight="1" thickTop="1" x14ac:dyDescent="0.25">
      <c r="B26" s="34" t="s">
        <v>76</v>
      </c>
      <c r="C26" s="33" t="s">
        <v>137</v>
      </c>
      <c r="H26" s="14"/>
      <c r="I26" s="20"/>
      <c r="J26" s="20"/>
      <c r="K26" s="37"/>
    </row>
    <row r="27" spans="2:11" x14ac:dyDescent="0.25">
      <c r="B27" s="4" t="s">
        <v>77</v>
      </c>
      <c r="C27" s="40" t="s">
        <v>78</v>
      </c>
      <c r="H27" s="16"/>
      <c r="I27" s="21"/>
      <c r="J27" s="21"/>
      <c r="K27" s="38"/>
    </row>
    <row r="28" spans="2:11" x14ac:dyDescent="0.25">
      <c r="B28" s="4"/>
      <c r="C28" s="7"/>
    </row>
    <row r="29" spans="2:11" ht="18" thickBot="1" x14ac:dyDescent="0.35">
      <c r="B29" s="6" t="s">
        <v>153</v>
      </c>
      <c r="C29" s="7"/>
    </row>
    <row r="30" spans="2:11" ht="40.5" customHeight="1" thickTop="1" x14ac:dyDescent="0.25">
      <c r="B30" s="34" t="s">
        <v>154</v>
      </c>
      <c r="C30" s="44" t="s">
        <v>155</v>
      </c>
    </row>
    <row r="31" spans="2:11" x14ac:dyDescent="0.25">
      <c r="B31" s="4"/>
      <c r="C31" s="7"/>
    </row>
    <row r="32" spans="2:11" ht="17.25" x14ac:dyDescent="0.3">
      <c r="B32" s="24" t="s">
        <v>109</v>
      </c>
      <c r="C32" s="7"/>
    </row>
    <row r="33" spans="1:7" x14ac:dyDescent="0.25">
      <c r="A33" s="42"/>
      <c r="B33" s="43" t="s">
        <v>139</v>
      </c>
      <c r="C33" s="43" t="s">
        <v>140</v>
      </c>
      <c r="D33" s="43" t="s">
        <v>151</v>
      </c>
      <c r="E33" s="43" t="s">
        <v>152</v>
      </c>
    </row>
    <row r="34" spans="1:7" x14ac:dyDescent="0.25">
      <c r="A34" s="43">
        <v>1</v>
      </c>
      <c r="B34" s="20" t="s">
        <v>110</v>
      </c>
      <c r="C34" s="39"/>
      <c r="D34" s="20"/>
      <c r="E34" s="20"/>
    </row>
    <row r="35" spans="1:7" x14ac:dyDescent="0.25">
      <c r="A35" s="43">
        <f t="shared" ref="A35:A43" si="0">A34+1</f>
        <v>2</v>
      </c>
      <c r="B35" s="20" t="s">
        <v>112</v>
      </c>
      <c r="C35" s="41" t="s">
        <v>111</v>
      </c>
      <c r="D35" s="20"/>
      <c r="E35" s="20"/>
    </row>
    <row r="36" spans="1:7" x14ac:dyDescent="0.25">
      <c r="A36" s="43">
        <f t="shared" si="0"/>
        <v>3</v>
      </c>
      <c r="B36" s="20" t="s">
        <v>114</v>
      </c>
      <c r="C36" s="41" t="s">
        <v>115</v>
      </c>
      <c r="D36" s="20"/>
      <c r="E36" s="20"/>
      <c r="G36" s="35"/>
    </row>
    <row r="37" spans="1:7" x14ac:dyDescent="0.25">
      <c r="A37" s="43">
        <f t="shared" si="0"/>
        <v>4</v>
      </c>
      <c r="B37" s="20" t="s">
        <v>141</v>
      </c>
      <c r="C37" s="39"/>
      <c r="D37" s="20"/>
      <c r="E37" s="20"/>
    </row>
    <row r="38" spans="1:7" x14ac:dyDescent="0.25">
      <c r="A38" s="43">
        <f t="shared" si="0"/>
        <v>5</v>
      </c>
      <c r="B38" s="20" t="s">
        <v>112</v>
      </c>
      <c r="C38" s="41" t="s">
        <v>143</v>
      </c>
      <c r="D38" s="20"/>
      <c r="E38" s="20"/>
    </row>
    <row r="39" spans="1:7" x14ac:dyDescent="0.25">
      <c r="A39" s="43">
        <f t="shared" si="0"/>
        <v>6</v>
      </c>
      <c r="B39" s="20" t="s">
        <v>114</v>
      </c>
      <c r="C39" s="41" t="s">
        <v>142</v>
      </c>
      <c r="D39" s="20"/>
      <c r="E39" s="20"/>
    </row>
    <row r="40" spans="1:7" x14ac:dyDescent="0.25">
      <c r="A40" s="43">
        <f t="shared" si="0"/>
        <v>7</v>
      </c>
      <c r="B40" s="20" t="s">
        <v>144</v>
      </c>
      <c r="C40" s="41"/>
      <c r="D40" s="20"/>
      <c r="E40" s="20"/>
    </row>
    <row r="41" spans="1:7" x14ac:dyDescent="0.25">
      <c r="A41" s="43">
        <f t="shared" si="0"/>
        <v>8</v>
      </c>
      <c r="B41" s="20" t="s">
        <v>145</v>
      </c>
      <c r="C41" s="41" t="s">
        <v>146</v>
      </c>
      <c r="D41" s="20"/>
      <c r="E41" s="20"/>
    </row>
    <row r="42" spans="1:7" x14ac:dyDescent="0.25">
      <c r="A42" s="43">
        <f t="shared" si="0"/>
        <v>9</v>
      </c>
      <c r="B42" s="20" t="s">
        <v>147</v>
      </c>
      <c r="C42" s="41" t="s">
        <v>148</v>
      </c>
      <c r="D42" s="20"/>
      <c r="E42" s="20"/>
    </row>
    <row r="43" spans="1:7" x14ac:dyDescent="0.25">
      <c r="A43" s="43">
        <f t="shared" si="0"/>
        <v>10</v>
      </c>
      <c r="B43" s="20" t="s">
        <v>149</v>
      </c>
      <c r="C43" s="41" t="s">
        <v>150</v>
      </c>
      <c r="D43" s="20"/>
      <c r="E43" s="20"/>
    </row>
    <row r="45" spans="1:7" ht="20.25" thickBot="1" x14ac:dyDescent="0.35">
      <c r="B45" s="1" t="s">
        <v>6</v>
      </c>
    </row>
    <row r="46" spans="1:7" ht="15.75" thickTop="1" x14ac:dyDescent="0.25"/>
    <row r="47" spans="1:7" ht="18" thickBot="1" x14ac:dyDescent="0.35">
      <c r="B47" s="22" t="s">
        <v>92</v>
      </c>
    </row>
    <row r="48" spans="1:7" ht="15.75" thickTop="1" x14ac:dyDescent="0.25">
      <c r="B48" s="18" t="s">
        <v>1</v>
      </c>
      <c r="C48" s="19" t="s">
        <v>21</v>
      </c>
      <c r="D48" s="19" t="s">
        <v>62</v>
      </c>
      <c r="E48" s="13" t="s">
        <v>81</v>
      </c>
    </row>
    <row r="49" spans="2:5" x14ac:dyDescent="0.25">
      <c r="B49" s="14" t="s">
        <v>7</v>
      </c>
      <c r="C49" s="20" t="s">
        <v>2</v>
      </c>
      <c r="D49" s="20" t="s">
        <v>63</v>
      </c>
      <c r="E49" s="15" t="s">
        <v>36</v>
      </c>
    </row>
    <row r="50" spans="2:5" x14ac:dyDescent="0.25">
      <c r="B50" s="14" t="s">
        <v>8</v>
      </c>
      <c r="C50" s="20" t="s">
        <v>3</v>
      </c>
      <c r="D50" s="20" t="s">
        <v>63</v>
      </c>
      <c r="E50" s="15" t="s">
        <v>36</v>
      </c>
    </row>
    <row r="51" spans="2:5" x14ac:dyDescent="0.25">
      <c r="B51" s="14" t="s">
        <v>9</v>
      </c>
      <c r="C51" s="20" t="s">
        <v>4</v>
      </c>
      <c r="D51" s="20" t="s">
        <v>63</v>
      </c>
      <c r="E51" s="15" t="s">
        <v>36</v>
      </c>
    </row>
    <row r="52" spans="2:5" x14ac:dyDescent="0.25">
      <c r="B52" s="14" t="s">
        <v>10</v>
      </c>
      <c r="C52" s="20" t="s">
        <v>5</v>
      </c>
      <c r="D52" s="20" t="s">
        <v>63</v>
      </c>
      <c r="E52" s="15" t="s">
        <v>36</v>
      </c>
    </row>
    <row r="53" spans="2:5" x14ac:dyDescent="0.25">
      <c r="B53" s="16" t="s">
        <v>30</v>
      </c>
      <c r="C53" s="21" t="s">
        <v>2</v>
      </c>
      <c r="D53" s="21" t="s">
        <v>63</v>
      </c>
      <c r="E53" s="17" t="s">
        <v>133</v>
      </c>
    </row>
    <row r="55" spans="2:5" ht="18" thickBot="1" x14ac:dyDescent="0.35">
      <c r="B55" s="6" t="s">
        <v>91</v>
      </c>
    </row>
    <row r="56" spans="2:5" ht="15.75" thickTop="1" x14ac:dyDescent="0.25">
      <c r="B56" s="18" t="s">
        <v>1</v>
      </c>
      <c r="C56" s="19" t="s">
        <v>21</v>
      </c>
      <c r="D56" s="19" t="s">
        <v>62</v>
      </c>
      <c r="E56" s="13" t="s">
        <v>81</v>
      </c>
    </row>
    <row r="57" spans="2:5" x14ac:dyDescent="0.25">
      <c r="B57" s="14" t="s">
        <v>11</v>
      </c>
      <c r="C57" s="20" t="s">
        <v>2</v>
      </c>
      <c r="D57" s="20" t="s">
        <v>63</v>
      </c>
      <c r="E57" s="15" t="s">
        <v>37</v>
      </c>
    </row>
    <row r="58" spans="2:5" x14ac:dyDescent="0.25">
      <c r="B58" s="14" t="s">
        <v>12</v>
      </c>
      <c r="C58" s="20" t="s">
        <v>3</v>
      </c>
      <c r="D58" s="20" t="s">
        <v>63</v>
      </c>
      <c r="E58" s="15" t="s">
        <v>37</v>
      </c>
    </row>
    <row r="59" spans="2:5" x14ac:dyDescent="0.25">
      <c r="B59" s="14" t="s">
        <v>13</v>
      </c>
      <c r="C59" s="20" t="s">
        <v>4</v>
      </c>
      <c r="D59" s="20" t="s">
        <v>63</v>
      </c>
      <c r="E59" s="15" t="s">
        <v>37</v>
      </c>
    </row>
    <row r="60" spans="2:5" x14ac:dyDescent="0.25">
      <c r="B60" s="16" t="s">
        <v>14</v>
      </c>
      <c r="C60" s="21" t="s">
        <v>5</v>
      </c>
      <c r="D60" s="21" t="s">
        <v>63</v>
      </c>
      <c r="E60" s="17" t="s">
        <v>37</v>
      </c>
    </row>
    <row r="62" spans="2:5" ht="18" thickBot="1" x14ac:dyDescent="0.35">
      <c r="B62" s="28" t="s">
        <v>93</v>
      </c>
      <c r="D62" s="3"/>
    </row>
    <row r="63" spans="2:5" ht="15.75" thickTop="1" x14ac:dyDescent="0.25">
      <c r="B63" s="18" t="s">
        <v>1</v>
      </c>
      <c r="C63" s="19" t="s">
        <v>21</v>
      </c>
      <c r="D63" s="19" t="s">
        <v>62</v>
      </c>
      <c r="E63" s="13" t="s">
        <v>81</v>
      </c>
    </row>
    <row r="64" spans="2:5" x14ac:dyDescent="0.25">
      <c r="B64" s="14" t="s">
        <v>15</v>
      </c>
      <c r="C64" s="20" t="s">
        <v>4</v>
      </c>
      <c r="D64" s="20" t="s">
        <v>63</v>
      </c>
      <c r="E64" s="15" t="s">
        <v>94</v>
      </c>
    </row>
    <row r="65" spans="2:16" x14ac:dyDescent="0.25">
      <c r="B65" s="14" t="s">
        <v>16</v>
      </c>
      <c r="C65" s="20" t="s">
        <v>4</v>
      </c>
      <c r="D65" s="20" t="s">
        <v>63</v>
      </c>
      <c r="E65" s="15" t="s">
        <v>95</v>
      </c>
    </row>
    <row r="66" spans="2:16" x14ac:dyDescent="0.25">
      <c r="B66" s="14" t="s">
        <v>17</v>
      </c>
      <c r="C66" s="20" t="s">
        <v>5</v>
      </c>
      <c r="D66" s="20" t="s">
        <v>63</v>
      </c>
      <c r="E66" s="15" t="s">
        <v>96</v>
      </c>
    </row>
    <row r="67" spans="2:16" x14ac:dyDescent="0.25">
      <c r="B67" s="14" t="s">
        <v>18</v>
      </c>
      <c r="C67" s="20" t="s">
        <v>5</v>
      </c>
      <c r="D67" s="20" t="s">
        <v>63</v>
      </c>
      <c r="E67" s="15" t="str">
        <f>Cells2List(H14,H25)</f>
        <v>Wireframe,Streamline 1</v>
      </c>
    </row>
    <row r="68" spans="2:16" x14ac:dyDescent="0.25">
      <c r="B68" s="14" t="s">
        <v>19</v>
      </c>
      <c r="C68" s="20" t="s">
        <v>2</v>
      </c>
      <c r="D68" s="20" t="s">
        <v>64</v>
      </c>
      <c r="E68" s="15"/>
    </row>
    <row r="69" spans="2:16" x14ac:dyDescent="0.25">
      <c r="B69" s="16" t="s">
        <v>20</v>
      </c>
      <c r="C69" s="21" t="s">
        <v>2</v>
      </c>
      <c r="D69" s="21" t="s">
        <v>64</v>
      </c>
      <c r="E69" s="17"/>
    </row>
    <row r="71" spans="2:16" ht="17.25" x14ac:dyDescent="0.3">
      <c r="B71" s="24" t="s">
        <v>71</v>
      </c>
      <c r="C71" s="7"/>
    </row>
    <row r="72" spans="2:16" x14ac:dyDescent="0.25">
      <c r="B72" s="25" t="s">
        <v>72</v>
      </c>
      <c r="C72" s="26" t="s">
        <v>73</v>
      </c>
      <c r="D72" s="27" t="s">
        <v>74</v>
      </c>
    </row>
    <row r="73" spans="2:16" x14ac:dyDescent="0.25">
      <c r="B73" s="14">
        <v>1</v>
      </c>
      <c r="C73" s="20" t="s">
        <v>80</v>
      </c>
      <c r="D73" s="15" t="s">
        <v>160</v>
      </c>
      <c r="P73" s="3"/>
    </row>
    <row r="74" spans="2:16" x14ac:dyDescent="0.25">
      <c r="B74" s="14">
        <v>2</v>
      </c>
      <c r="C74" s="20" t="s">
        <v>138</v>
      </c>
      <c r="D74" s="15" t="s">
        <v>161</v>
      </c>
    </row>
    <row r="75" spans="2:16" x14ac:dyDescent="0.25">
      <c r="B75" s="16">
        <v>3</v>
      </c>
      <c r="C75" s="21"/>
      <c r="D75" s="17"/>
    </row>
    <row r="76" spans="2:16" x14ac:dyDescent="0.25">
      <c r="B76" s="4"/>
      <c r="C76" s="7"/>
    </row>
    <row r="77" spans="2:16" ht="17.25" x14ac:dyDescent="0.3">
      <c r="B77" s="24" t="s">
        <v>69</v>
      </c>
      <c r="C77" s="7"/>
    </row>
    <row r="78" spans="2:16" x14ac:dyDescent="0.25">
      <c r="B78" s="25" t="s">
        <v>72</v>
      </c>
      <c r="C78" s="26" t="s">
        <v>73</v>
      </c>
      <c r="D78" s="27" t="s">
        <v>74</v>
      </c>
    </row>
    <row r="79" spans="2:16" x14ac:dyDescent="0.25">
      <c r="B79" s="14">
        <v>1</v>
      </c>
      <c r="C79" s="20"/>
      <c r="D79" s="15"/>
    </row>
    <row r="80" spans="2:16" x14ac:dyDescent="0.25">
      <c r="B80" s="14">
        <v>2</v>
      </c>
      <c r="C80" s="20"/>
      <c r="D80" s="15"/>
    </row>
    <row r="81" spans="2:14" x14ac:dyDescent="0.25">
      <c r="B81" s="16">
        <v>3</v>
      </c>
      <c r="C81" s="21"/>
      <c r="D81" s="17"/>
    </row>
    <row r="82" spans="2:14" x14ac:dyDescent="0.25">
      <c r="B82" s="4"/>
      <c r="C82" s="7"/>
    </row>
    <row r="96" spans="2:14" ht="409.5" x14ac:dyDescent="0.25">
      <c r="N96" s="36" t="s">
        <v>126</v>
      </c>
    </row>
  </sheetData>
  <conditionalFormatting sqref="B73:D75">
    <cfRule type="expression" dxfId="8" priority="10">
      <formula>MOD(ROW()+MOD(ROW($B$73),2),2)=0</formula>
    </cfRule>
  </conditionalFormatting>
  <conditionalFormatting sqref="B79:D81">
    <cfRule type="expression" dxfId="7" priority="9">
      <formula>MOD(ROW()+MOD(ROW($B$79),2),2)=0</formula>
    </cfRule>
  </conditionalFormatting>
  <conditionalFormatting sqref="H6:I9">
    <cfRule type="expression" dxfId="6" priority="7">
      <formula>MOD(ROW()+MOD(ROW($H$6),2),2)=0</formula>
    </cfRule>
  </conditionalFormatting>
  <conditionalFormatting sqref="B49:E53">
    <cfRule type="expression" dxfId="5" priority="6">
      <formula>MOD(ROW()+MOD(ROW($B$49),2),2)=0</formula>
    </cfRule>
  </conditionalFormatting>
  <conditionalFormatting sqref="B57:E60">
    <cfRule type="expression" dxfId="4" priority="5">
      <formula>MOD(ROW()+MOD(ROW($B$57),2),2)=0</formula>
    </cfRule>
  </conditionalFormatting>
  <conditionalFormatting sqref="B64:E69">
    <cfRule type="expression" dxfId="3" priority="4">
      <formula>MOD(ROW()+MOD(ROW($B$64),2),2)=0</formula>
    </cfRule>
  </conditionalFormatting>
  <conditionalFormatting sqref="H14:K27">
    <cfRule type="expression" dxfId="2" priority="2">
      <formula>MOD(ROW()+MOD(ROW($H$14),2),2)=0</formula>
    </cfRule>
  </conditionalFormatting>
  <conditionalFormatting sqref="B34:E43">
    <cfRule type="expression" dxfId="1" priority="1">
      <formula>MOD(ROW()+MOD(ROW($B$34),2),2)=0</formula>
    </cfRule>
  </conditionalFormatting>
  <dataValidations count="6">
    <dataValidation type="list" allowBlank="1" showInputMessage="1" showErrorMessage="1" sqref="C49:C53 C57:C60 C64:C69 I57:I70" xr:uid="{B912C929-C44E-4D7E-9771-0B6ED6318960}">
      <formula1>Views.Names</formula1>
    </dataValidation>
    <dataValidation type="list" allowBlank="1" showInputMessage="1" showErrorMessage="1" sqref="Q65 I14:I27" xr:uid="{74D3D423-1ECA-4C95-B26C-CD7BC6C60164}">
      <formula1>Types</formula1>
    </dataValidation>
    <dataValidation type="list" allowBlank="1" showInputMessage="1" showErrorMessage="1" sqref="C16" xr:uid="{DE937360-DEA2-4091-B705-AABD1E133146}">
      <formula1>"Pressure-Based,Density-Based"</formula1>
    </dataValidation>
    <dataValidation type="list" allowBlank="1" showInputMessage="1" showErrorMessage="1" sqref="D16" xr:uid="{2DF5CEFD-DF91-4145-B33B-CB7FF9C7101F}">
      <formula1>"Steady,Transient"</formula1>
    </dataValidation>
    <dataValidation type="list" allowBlank="1" showInputMessage="1" showErrorMessage="1" sqref="D49:D53 D57:D60 D64:D69 J57:J70" xr:uid="{617897CE-467B-42EF-AEE6-3C6172271475}">
      <formula1>"Yes,No"</formula1>
    </dataValidation>
    <dataValidation type="list" allowBlank="1" showInputMessage="1" showErrorMessage="1" sqref="I2" xr:uid="{9EC94B4A-C648-4E24-B33D-EB7610638013}">
      <formula1>"YES,NO"</formula1>
    </dataValidation>
  </dataValidations>
  <hyperlinks>
    <hyperlink ref="A2" r:id="rId1" xr:uid="{6B5C2AE4-E0FD-4352-8378-18A2F4F0DB5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CreateReportSkeleton">
                <anchor>
                  <from>
                    <xdr:col>3</xdr:col>
                    <xdr:colOff>885825</xdr:colOff>
                    <xdr:row>0</xdr:row>
                    <xdr:rowOff>47625</xdr:rowOff>
                  </from>
                  <to>
                    <xdr:col>5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tArguments">
                <anchor moveWithCells="1" sizeWithCells="1">
                  <from>
                    <xdr:col>10</xdr:col>
                    <xdr:colOff>838200</xdr:colOff>
                    <xdr:row>10</xdr:row>
                    <xdr:rowOff>0</xdr:rowOff>
                  </from>
                  <to>
                    <xdr:col>10</xdr:col>
                    <xdr:colOff>2209800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C28"/>
  <sheetViews>
    <sheetView topLeftCell="A25" zoomScaleNormal="100" workbookViewId="0">
      <selection activeCell="C26" sqref="C26"/>
    </sheetView>
  </sheetViews>
  <sheetFormatPr defaultRowHeight="15" x14ac:dyDescent="0.25"/>
  <cols>
    <col min="1" max="1" width="20.5703125" style="8" customWidth="1"/>
    <col min="2" max="2" width="25.28515625" style="10" customWidth="1"/>
    <col min="3" max="3" width="79.85546875" customWidth="1"/>
  </cols>
  <sheetData>
    <row r="1" spans="1:3" ht="20.25" thickBot="1" x14ac:dyDescent="0.35">
      <c r="A1" s="1" t="s">
        <v>82</v>
      </c>
    </row>
    <row r="2" spans="1:3" ht="15.75" thickTop="1" x14ac:dyDescent="0.25">
      <c r="A2"/>
    </row>
    <row r="3" spans="1:3" x14ac:dyDescent="0.25">
      <c r="A3" s="18" t="s">
        <v>27</v>
      </c>
      <c r="B3" s="13" t="s">
        <v>118</v>
      </c>
      <c r="C3" s="23" t="s">
        <v>120</v>
      </c>
    </row>
    <row r="4" spans="1:3" x14ac:dyDescent="0.25">
      <c r="A4" s="14" t="s">
        <v>28</v>
      </c>
      <c r="B4" s="20" t="s">
        <v>117</v>
      </c>
      <c r="C4" s="37"/>
    </row>
    <row r="5" spans="1:3" x14ac:dyDescent="0.25">
      <c r="A5" s="14" t="s">
        <v>29</v>
      </c>
      <c r="B5" s="20" t="s">
        <v>124</v>
      </c>
      <c r="C5" s="37" t="str">
        <f>CONCATENATE("${SHOW_MESH}",";","Off",";","${LOCATION_LIST}",";","inlet",";","${TRANSPARENCY}",";",0.2)</f>
        <v>${SHOW_MESH};Off;${LOCATION_LIST};inlet;${TRANSPARENCY};0.2</v>
      </c>
    </row>
    <row r="6" spans="1:3" x14ac:dyDescent="0.25">
      <c r="A6" s="14" t="s">
        <v>35</v>
      </c>
      <c r="B6" s="20" t="s">
        <v>121</v>
      </c>
      <c r="C6" s="37" t="s">
        <v>127</v>
      </c>
    </row>
    <row r="7" spans="1:3" x14ac:dyDescent="0.25">
      <c r="A7" s="14" t="s">
        <v>46</v>
      </c>
      <c r="B7" s="20" t="s">
        <v>122</v>
      </c>
      <c r="C7" s="37" t="s">
        <v>128</v>
      </c>
    </row>
    <row r="8" spans="1:3" x14ac:dyDescent="0.25">
      <c r="A8" s="14" t="s">
        <v>105</v>
      </c>
      <c r="B8" s="20" t="s">
        <v>123</v>
      </c>
      <c r="C8" s="37" t="s">
        <v>130</v>
      </c>
    </row>
    <row r="9" spans="1:3" x14ac:dyDescent="0.25">
      <c r="A9" s="14"/>
      <c r="B9" s="20"/>
      <c r="C9" s="37"/>
    </row>
    <row r="10" spans="1:3" x14ac:dyDescent="0.25">
      <c r="A10" s="14"/>
      <c r="B10" s="20"/>
      <c r="C10" s="37"/>
    </row>
    <row r="11" spans="1:3" x14ac:dyDescent="0.25">
      <c r="A11" s="16"/>
      <c r="B11" s="21"/>
      <c r="C11" s="38"/>
    </row>
    <row r="12" spans="1:3" x14ac:dyDescent="0.25">
      <c r="A12"/>
    </row>
    <row r="15" spans="1:3" ht="120" x14ac:dyDescent="0.25">
      <c r="B15" s="8" t="s">
        <v>69</v>
      </c>
      <c r="C15" s="9" t="s">
        <v>83</v>
      </c>
    </row>
    <row r="16" spans="1:3" ht="135" x14ac:dyDescent="0.25">
      <c r="B16" s="8" t="s">
        <v>70</v>
      </c>
      <c r="C16" s="9" t="s">
        <v>102</v>
      </c>
    </row>
    <row r="17" spans="2:3" x14ac:dyDescent="0.25">
      <c r="B17" s="8" t="s">
        <v>79</v>
      </c>
      <c r="C17" s="9" t="s">
        <v>85</v>
      </c>
    </row>
    <row r="18" spans="2:3" ht="240" x14ac:dyDescent="0.25">
      <c r="B18" s="8" t="s">
        <v>88</v>
      </c>
      <c r="C18" s="9" t="s">
        <v>89</v>
      </c>
    </row>
    <row r="19" spans="2:3" ht="409.5" x14ac:dyDescent="0.25">
      <c r="B19" s="8" t="s">
        <v>86</v>
      </c>
      <c r="C19" s="9" t="s">
        <v>84</v>
      </c>
    </row>
    <row r="20" spans="2:3" ht="409.5" x14ac:dyDescent="0.25">
      <c r="B20" s="8" t="s">
        <v>29</v>
      </c>
      <c r="C20" s="9" t="s">
        <v>125</v>
      </c>
    </row>
    <row r="21" spans="2:3" ht="409.5" x14ac:dyDescent="0.25">
      <c r="B21" s="8"/>
      <c r="C21" s="9" t="s">
        <v>103</v>
      </c>
    </row>
    <row r="22" spans="2:3" ht="409.5" x14ac:dyDescent="0.25">
      <c r="B22" s="8"/>
      <c r="C22" s="9" t="s">
        <v>87</v>
      </c>
    </row>
    <row r="23" spans="2:3" ht="285" x14ac:dyDescent="0.25">
      <c r="B23" s="8"/>
      <c r="C23" s="9" t="s">
        <v>90</v>
      </c>
    </row>
    <row r="24" spans="2:3" ht="180" x14ac:dyDescent="0.25">
      <c r="B24" s="8"/>
      <c r="C24" s="9" t="s">
        <v>104</v>
      </c>
    </row>
    <row r="25" spans="2:3" ht="120" x14ac:dyDescent="0.25">
      <c r="B25" s="8"/>
      <c r="C25" s="9" t="s">
        <v>108</v>
      </c>
    </row>
    <row r="26" spans="2:3" ht="409.5" x14ac:dyDescent="0.25">
      <c r="B26" s="8"/>
      <c r="C26" s="9" t="s">
        <v>101</v>
      </c>
    </row>
    <row r="27" spans="2:3" ht="409.5" x14ac:dyDescent="0.25">
      <c r="B27" s="8"/>
      <c r="C27" s="9" t="s">
        <v>129</v>
      </c>
    </row>
    <row r="28" spans="2:3" ht="409.5" x14ac:dyDescent="0.25">
      <c r="C28" s="9" t="s">
        <v>163</v>
      </c>
    </row>
  </sheetData>
  <conditionalFormatting sqref="C5">
    <cfRule type="expression" dxfId="0" priority="1">
      <formula>MOD(ROW()+MOD(ROW($H$14),2),2)=0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42</vt:i4>
      </vt:variant>
    </vt:vector>
  </HeadingPairs>
  <TitlesOfParts>
    <vt:vector size="44" baseType="lpstr">
      <vt:lpstr>Case1</vt:lpstr>
      <vt:lpstr>Templates</vt:lpstr>
      <vt:lpstr>Case1!BC.Inlet</vt:lpstr>
      <vt:lpstr>Case1!BC.Outlet</vt:lpstr>
      <vt:lpstr>Case1!ExternalFigures.Convergence</vt:lpstr>
      <vt:lpstr>Case1!ExternalFigures.Misc</vt:lpstr>
      <vt:lpstr>Case1!Figure.Height</vt:lpstr>
      <vt:lpstr>Case1!Figure.Width</vt:lpstr>
      <vt:lpstr>Case1!Figures.Geometry</vt:lpstr>
      <vt:lpstr>Case1!Figures.Mesh</vt:lpstr>
      <vt:lpstr>Case1!Figures.Solution</vt:lpstr>
      <vt:lpstr>Case1!Fluid.Density</vt:lpstr>
      <vt:lpstr>Case1!Fluid.Description</vt:lpstr>
      <vt:lpstr>Case1!Fluid.Other</vt:lpstr>
      <vt:lpstr>Case1!Fluid.Viscosity</vt:lpstr>
      <vt:lpstr>Case1!Misc.Notes</vt:lpstr>
      <vt:lpstr>Case1!Options.ShallowCopy</vt:lpstr>
      <vt:lpstr>Case1!Path.Base</vt:lpstr>
      <vt:lpstr>Case1!Report.Author</vt:lpstr>
      <vt:lpstr>Case1!Report.Path</vt:lpstr>
      <vt:lpstr>Case1!Report.Title</vt:lpstr>
      <vt:lpstr>Case1!ResultFile</vt:lpstr>
      <vt:lpstr>Case1!Solver.Time</vt:lpstr>
      <vt:lpstr>Case1!Solver.Type</vt:lpstr>
      <vt:lpstr>Case1!TableInput</vt:lpstr>
      <vt:lpstr>Template.Comment</vt:lpstr>
      <vt:lpstr>Template.CommentSubheading</vt:lpstr>
      <vt:lpstr>Template.Contour</vt:lpstr>
      <vt:lpstr>Template.ExternalFigure</vt:lpstr>
      <vt:lpstr>Template.HelperSubs</vt:lpstr>
      <vt:lpstr>Template.LoadFile</vt:lpstr>
      <vt:lpstr>Template.Plane</vt:lpstr>
      <vt:lpstr>Template.ReportSettings</vt:lpstr>
      <vt:lpstr>Template.Streamline</vt:lpstr>
      <vt:lpstr>Template.Sub.HideShowObjects</vt:lpstr>
      <vt:lpstr>Template.SurfaceGroup</vt:lpstr>
      <vt:lpstr>Template.View</vt:lpstr>
      <vt:lpstr>Template.Wireframe</vt:lpstr>
      <vt:lpstr>Case1!TurbulenceModel.Name</vt:lpstr>
      <vt:lpstr>Case1!TurbulenceModel.WallFunction</vt:lpstr>
      <vt:lpstr>Types</vt:lpstr>
      <vt:lpstr>UserLocationDefaults</vt:lpstr>
      <vt:lpstr>Case1!UserLocations</vt:lpstr>
      <vt:lpstr>Case1!Views.Names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cp:lastPrinted>2020-05-15T13:42:33Z</cp:lastPrinted>
  <dcterms:created xsi:type="dcterms:W3CDTF">2020-05-11T07:44:45Z</dcterms:created>
  <dcterms:modified xsi:type="dcterms:W3CDTF">2020-07-03T13:26:09Z</dcterms:modified>
</cp:coreProperties>
</file>